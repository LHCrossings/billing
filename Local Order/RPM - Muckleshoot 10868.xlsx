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LIENTS\Rodi Platcow Malin (RPM Advertising)\Muckleshoot Casino\"/>
    </mc:Choice>
  </mc:AlternateContent>
  <xr:revisionPtr revIDLastSave="0" documentId="13_ncr:1_{04CA42BF-C714-48B2-95A2-E52A08C51CD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les Confirmation" sheetId="1" r:id="rId1"/>
    <sheet name="Run Sheet" sheetId="2" r:id="rId2"/>
    <sheet name="Monthly" sheetId="3" r:id="rId3"/>
  </sheets>
  <definedNames>
    <definedName name="_xlnm._FilterDatabase" localSheetId="1" hidden="1">'Run Sheet'!$A$1:$AC$95</definedName>
  </definedNames>
  <calcPr calcId="18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7" i="1" l="1"/>
  <c r="E36" i="1"/>
  <c r="E35" i="1"/>
  <c r="P23" i="1"/>
  <c r="L23" i="1"/>
  <c r="L22" i="1"/>
  <c r="P22" i="1" s="1"/>
  <c r="D38" i="1"/>
  <c r="L20" i="1"/>
  <c r="P20" i="1" s="1"/>
  <c r="L21" i="1"/>
  <c r="P21" i="1" s="1"/>
  <c r="L15" i="1"/>
  <c r="L16" i="1"/>
  <c r="P16" i="1" s="1"/>
  <c r="L17" i="1"/>
  <c r="P17" i="1" s="1"/>
  <c r="L18" i="1"/>
  <c r="P18" i="1" s="1"/>
  <c r="L19" i="1"/>
  <c r="P19" i="1" s="1"/>
  <c r="E38" i="1" l="1"/>
  <c r="P15" i="1"/>
  <c r="P24" i="1" l="1"/>
  <c r="P25" i="1" s="1"/>
</calcChain>
</file>

<file path=xl/sharedStrings.xml><?xml version="1.0" encoding="utf-8"?>
<sst xmlns="http://schemas.openxmlformats.org/spreadsheetml/2006/main" count="4227" uniqueCount="208">
  <si>
    <t>Client</t>
  </si>
  <si>
    <t>Advertiser</t>
  </si>
  <si>
    <t>Contact</t>
  </si>
  <si>
    <t>Address</t>
  </si>
  <si>
    <t>Estimate</t>
  </si>
  <si>
    <t>Billing Type</t>
  </si>
  <si>
    <t>Broadcast</t>
  </si>
  <si>
    <t>Phone</t>
  </si>
  <si>
    <t>Market</t>
  </si>
  <si>
    <t>Fax</t>
  </si>
  <si>
    <t>Email</t>
  </si>
  <si>
    <t>Contract Number</t>
  </si>
  <si>
    <t>Bill Code</t>
  </si>
  <si>
    <t>Air Date</t>
  </si>
  <si>
    <t>End Date</t>
  </si>
  <si>
    <t>Day</t>
  </si>
  <si>
    <t>Time In</t>
  </si>
  <si>
    <t>Time out</t>
  </si>
  <si>
    <t>Length</t>
  </si>
  <si>
    <t>Media</t>
  </si>
  <si>
    <t>Lang.</t>
  </si>
  <si>
    <t>Format</t>
  </si>
  <si>
    <t>#</t>
  </si>
  <si>
    <t>Type</t>
  </si>
  <si>
    <t>Make Good</t>
  </si>
  <si>
    <t>Spot Value</t>
  </si>
  <si>
    <t>Broker Fees</t>
  </si>
  <si>
    <t>Station Net</t>
  </si>
  <si>
    <t>Sales Person</t>
  </si>
  <si>
    <t>Revenue Type</t>
  </si>
  <si>
    <t>Agency?</t>
  </si>
  <si>
    <t>Affidavit?</t>
  </si>
  <si>
    <t>Y</t>
  </si>
  <si>
    <t>COM</t>
  </si>
  <si>
    <t>SALES CONFIRMATION - CROSSINGS TV</t>
  </si>
  <si>
    <t>Start Date</t>
  </si>
  <si>
    <t>Line Number</t>
  </si>
  <si>
    <t>TP/Program/Lang Ordered</t>
  </si>
  <si>
    <t>Total # of Units</t>
  </si>
  <si>
    <t># spt per</t>
  </si>
  <si>
    <t>Per ____</t>
  </si>
  <si>
    <t>Spot type</t>
  </si>
  <si>
    <t>Additional Notes</t>
  </si>
  <si>
    <t>Gross Rate</t>
  </si>
  <si>
    <t>Agency Discount</t>
  </si>
  <si>
    <t>spots</t>
  </si>
  <si>
    <t>Station Rep Signature</t>
  </si>
  <si>
    <t>Client Signature</t>
  </si>
  <si>
    <t>Date Order Written</t>
  </si>
  <si>
    <t>Program</t>
  </si>
  <si>
    <t>Revision</t>
  </si>
  <si>
    <t>Station Representative</t>
  </si>
  <si>
    <t>Gross Amount</t>
  </si>
  <si>
    <t>Net Amount of Contract</t>
  </si>
  <si>
    <t># of days, wks, mos</t>
  </si>
  <si>
    <t>Gross Unit Rate</t>
  </si>
  <si>
    <t>Gross Line Total</t>
  </si>
  <si>
    <t>Agency</t>
  </si>
  <si>
    <t>MONTHLY BREAKDOWN</t>
  </si>
  <si>
    <t>Total</t>
  </si>
  <si>
    <t>Month</t>
  </si>
  <si>
    <t>Gross</t>
  </si>
  <si>
    <t>Net</t>
  </si>
  <si>
    <t>Line</t>
  </si>
  <si>
    <t>:30</t>
  </si>
  <si>
    <t>SEA</t>
  </si>
  <si>
    <t>Row Labels</t>
  </si>
  <si>
    <t>(blank)</t>
  </si>
  <si>
    <t>Grand Total</t>
  </si>
  <si>
    <t>Sum of Gross Rate</t>
  </si>
  <si>
    <t>Sum of Station Net</t>
  </si>
  <si>
    <t>BNS</t>
  </si>
  <si>
    <t>priority</t>
  </si>
  <si>
    <t>Muckleshoot Casino</t>
  </si>
  <si>
    <t>week</t>
  </si>
  <si>
    <t>M-F Chinese AM</t>
  </si>
  <si>
    <t>Internal Ad Sales</t>
  </si>
  <si>
    <t>06:20:00</t>
  </si>
  <si>
    <t>M</t>
  </si>
  <si>
    <t>Chinese ROS</t>
  </si>
  <si>
    <t>Weekday Viet</t>
  </si>
  <si>
    <t>Weekend Viet</t>
  </si>
  <si>
    <t>Contract</t>
  </si>
  <si>
    <t>Viet ROS</t>
  </si>
  <si>
    <t>M-F Chinese PM</t>
  </si>
  <si>
    <t>Charmaine Lane</t>
  </si>
  <si>
    <t>Rodi Platcow Malin</t>
  </si>
  <si>
    <t>Mary Jo Papaleo</t>
  </si>
  <si>
    <t>623 W Lake St #420</t>
  </si>
  <si>
    <t>Chicago</t>
  </si>
  <si>
    <t>IL</t>
  </si>
  <si>
    <t>mjpapaleo@rpmadv.com</t>
  </si>
  <si>
    <t>agutierrez@rpmadv.com</t>
  </si>
  <si>
    <t>Rodi Platcow Malin:Muckleshoot Casino</t>
  </si>
  <si>
    <t>rbezouska@rpmadv.com</t>
  </si>
  <si>
    <t>finance.ap@muckleshootcasino.com</t>
  </si>
  <si>
    <t>06:31:00</t>
  </si>
  <si>
    <t>06:48:30</t>
  </si>
  <si>
    <t>06:59:00</t>
  </si>
  <si>
    <t>07:08:00</t>
  </si>
  <si>
    <t>07:18:00</t>
  </si>
  <si>
    <t>07:28:00</t>
  </si>
  <si>
    <t>07:38:00</t>
  </si>
  <si>
    <t>07:48:00</t>
  </si>
  <si>
    <t>07:58:00</t>
  </si>
  <si>
    <t>19:14:00</t>
  </si>
  <si>
    <t>19:25:30</t>
  </si>
  <si>
    <t>19:29:00</t>
  </si>
  <si>
    <t>19:58:00</t>
  </si>
  <si>
    <t>20:20:00</t>
  </si>
  <si>
    <t>20:31:00</t>
  </si>
  <si>
    <t>20:48:30</t>
  </si>
  <si>
    <t>20:59:00</t>
  </si>
  <si>
    <t>21:08:00</t>
  </si>
  <si>
    <t>21:18:00</t>
  </si>
  <si>
    <t>21:28:00</t>
  </si>
  <si>
    <t>21:38:00</t>
  </si>
  <si>
    <t>21:48:00</t>
  </si>
  <si>
    <t>21:58:00</t>
  </si>
  <si>
    <t>22:12:00</t>
  </si>
  <si>
    <t>23:12:00</t>
  </si>
  <si>
    <t>23:25:00</t>
  </si>
  <si>
    <t>23:44:00</t>
  </si>
  <si>
    <t>23:55:00</t>
  </si>
  <si>
    <t>23:58:30</t>
  </si>
  <si>
    <t>21:12:00</t>
  </si>
  <si>
    <t>21:20:00</t>
  </si>
  <si>
    <t>21:42:00</t>
  </si>
  <si>
    <t>22:28:00</t>
  </si>
  <si>
    <t>22:40:00</t>
  </si>
  <si>
    <t>23:10:00</t>
  </si>
  <si>
    <t>23:40:00</t>
  </si>
  <si>
    <t>19:44:00</t>
  </si>
  <si>
    <t>19:50:00</t>
  </si>
  <si>
    <t>19:59:00</t>
  </si>
  <si>
    <t>11:08:00</t>
  </si>
  <si>
    <t>V</t>
  </si>
  <si>
    <t>11:18:00</t>
  </si>
  <si>
    <t>11:28:00</t>
  </si>
  <si>
    <t>11:40:30</t>
  </si>
  <si>
    <t>11:41:30</t>
  </si>
  <si>
    <t>11:42:00</t>
  </si>
  <si>
    <t>11:49:00</t>
  </si>
  <si>
    <t>11:56:30</t>
  </si>
  <si>
    <t>12:07:00</t>
  </si>
  <si>
    <t>12:18:00</t>
  </si>
  <si>
    <t>12:29:00</t>
  </si>
  <si>
    <t>12:38:00</t>
  </si>
  <si>
    <t>12:48:00</t>
  </si>
  <si>
    <t>12:59:00</t>
  </si>
  <si>
    <t>11:35:00</t>
  </si>
  <si>
    <t>11:50:00</t>
  </si>
  <si>
    <t>11:59:00</t>
  </si>
  <si>
    <t>11:57:30</t>
  </si>
  <si>
    <t>Sa-Su Chinese AM</t>
  </si>
  <si>
    <t>order</t>
  </si>
  <si>
    <t>MCR FY26 Q1 Jan - Mar Asian TV</t>
  </si>
  <si>
    <t>January</t>
  </si>
  <si>
    <t>February</t>
  </si>
  <si>
    <t>March</t>
  </si>
  <si>
    <t>Monday</t>
  </si>
  <si>
    <t>10868</t>
  </si>
  <si>
    <t>2358</t>
  </si>
  <si>
    <t>Tuesday</t>
  </si>
  <si>
    <t>Wednesday</t>
  </si>
  <si>
    <t>Thursday</t>
  </si>
  <si>
    <t>Friday</t>
  </si>
  <si>
    <t>22:55:00</t>
  </si>
  <si>
    <t>Saturday</t>
  </si>
  <si>
    <t>Sunday</t>
  </si>
  <si>
    <t>19:55:15</t>
  </si>
  <si>
    <t>21:26:00</t>
  </si>
  <si>
    <t>23:57:00</t>
  </si>
  <si>
    <t>23:27:00</t>
  </si>
  <si>
    <t>22:25:00</t>
  </si>
  <si>
    <t>22:08:00</t>
  </si>
  <si>
    <t>23:05:00</t>
  </si>
  <si>
    <t>21:43:00</t>
  </si>
  <si>
    <t>22:56:00</t>
  </si>
  <si>
    <t>23:41:00</t>
  </si>
  <si>
    <t>NEED COPY</t>
  </si>
  <si>
    <t>19:42:00</t>
  </si>
  <si>
    <t>22:43:00</t>
  </si>
  <si>
    <t>23:28:00</t>
  </si>
  <si>
    <t>11:57:00</t>
  </si>
  <si>
    <t>12:28:00</t>
  </si>
  <si>
    <t>08:38:00</t>
  </si>
  <si>
    <t>09:06:00</t>
  </si>
  <si>
    <t>10:07:00</t>
  </si>
  <si>
    <t>10:38:00</t>
  </si>
  <si>
    <t>13:18:00</t>
  </si>
  <si>
    <t>13:40:00</t>
  </si>
  <si>
    <t>13:59:00</t>
  </si>
  <si>
    <t>14:23:30</t>
  </si>
  <si>
    <t>14:48:00</t>
  </si>
  <si>
    <t>15:10:00</t>
  </si>
  <si>
    <t>15:25:00</t>
  </si>
  <si>
    <t>15:41:00</t>
  </si>
  <si>
    <t>16:18:00</t>
  </si>
  <si>
    <t>16:38:00</t>
  </si>
  <si>
    <t>16:58:00</t>
  </si>
  <si>
    <t>17:38:00</t>
  </si>
  <si>
    <t>17:58:00</t>
  </si>
  <si>
    <t>18:16:30</t>
  </si>
  <si>
    <t>18:51:00</t>
  </si>
  <si>
    <t>19:07:30</t>
  </si>
  <si>
    <t>19:26:00</t>
  </si>
  <si>
    <t>19:43:00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</si>
</sst>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[&lt;=9999999]###\-####;\(###\)\ ###\-####"/>
    <numFmt numFmtId="165" formatCode="[h]:mm:ss;@"/>
    <numFmt numFmtId="166" formatCode="m/d/yy"/>
    <numFmt numFmtId="167" formatCode="[$-409]mmmm\-yy;@"/>
    <numFmt numFmtId="168" formatCode="[$-409]mmm\-yy;@"/>
    <numFmt numFmtId="169" formatCode="&quot;$&quot;#,##0.00"/>
  </numFmts>
  <fonts count="4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2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i/>
      <sz val="11"/>
      <color indexed="8"/>
      <name val="Calibri"/>
      <family val="2"/>
    </font>
    <font>
      <i/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Geneva"/>
    </font>
    <font>
      <u/>
      <sz val="9"/>
      <color indexed="12"/>
      <name val="Geneva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33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44" fontId="5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0" fillId="7" borderId="1" applyNumberFormat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7" fillId="0" borderId="0"/>
    <xf numFmtId="0" fontId="3" fillId="0" borderId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31" applyNumberFormat="0" applyFill="0" applyAlignment="0" applyProtection="0"/>
    <xf numFmtId="0" fontId="30" fillId="0" borderId="32" applyNumberFormat="0" applyFill="0" applyAlignment="0" applyProtection="0"/>
    <xf numFmtId="0" fontId="31" fillId="0" borderId="33" applyNumberFormat="0" applyFill="0" applyAlignment="0" applyProtection="0"/>
    <xf numFmtId="0" fontId="31" fillId="0" borderId="0" applyNumberFormat="0" applyFill="0" applyBorder="0" applyAlignment="0" applyProtection="0"/>
    <xf numFmtId="0" fontId="32" fillId="25" borderId="0" applyNumberFormat="0" applyBorder="0" applyAlignment="0" applyProtection="0"/>
    <xf numFmtId="0" fontId="33" fillId="26" borderId="0" applyNumberFormat="0" applyBorder="0" applyAlignment="0" applyProtection="0"/>
    <xf numFmtId="0" fontId="34" fillId="27" borderId="0" applyNumberFormat="0" applyBorder="0" applyAlignment="0" applyProtection="0"/>
    <xf numFmtId="0" fontId="35" fillId="28" borderId="34" applyNumberFormat="0" applyAlignment="0" applyProtection="0"/>
    <xf numFmtId="0" fontId="36" fillId="29" borderId="35" applyNumberFormat="0" applyAlignment="0" applyProtection="0"/>
    <xf numFmtId="0" fontId="37" fillId="29" borderId="34" applyNumberFormat="0" applyAlignment="0" applyProtection="0"/>
    <xf numFmtId="0" fontId="38" fillId="0" borderId="36" applyNumberFormat="0" applyFill="0" applyAlignment="0" applyProtection="0"/>
    <xf numFmtId="0" fontId="39" fillId="30" borderId="37" applyNumberFormat="0" applyAlignment="0" applyProtection="0"/>
    <xf numFmtId="0" fontId="40" fillId="0" borderId="0" applyNumberFormat="0" applyFill="0" applyBorder="0" applyAlignment="0" applyProtection="0"/>
    <xf numFmtId="0" fontId="27" fillId="31" borderId="38" applyNumberFormat="0" applyFont="0" applyAlignment="0" applyProtection="0"/>
    <xf numFmtId="0" fontId="41" fillId="0" borderId="0" applyNumberFormat="0" applyFill="0" applyBorder="0" applyAlignment="0" applyProtection="0"/>
    <xf numFmtId="0" fontId="42" fillId="0" borderId="39" applyNumberFormat="0" applyFill="0" applyAlignment="0" applyProtection="0"/>
    <xf numFmtId="0" fontId="43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4" borderId="0" applyNumberFormat="0" applyBorder="0" applyAlignment="0" applyProtection="0"/>
    <xf numFmtId="0" fontId="43" fillId="55" borderId="0" applyNumberFormat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5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7" fillId="0" borderId="0"/>
    <xf numFmtId="44" fontId="27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  <xf numFmtId="0" fontId="7" fillId="23" borderId="7" applyNumberFormat="0" applyFon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44" fontId="27" fillId="0" borderId="0" applyFont="0" applyFill="0" applyBorder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7" fillId="0" borderId="0"/>
    <xf numFmtId="0" fontId="7" fillId="0" borderId="0"/>
    <xf numFmtId="0" fontId="7" fillId="23" borderId="7" applyNumberFormat="0" applyFon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7" fillId="23" borderId="7" applyNumberFormat="0" applyFon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20" fillId="7" borderId="1" applyNumberFormat="0" applyAlignment="0" applyProtection="0"/>
    <xf numFmtId="0" fontId="7" fillId="23" borderId="7" applyNumberFormat="0" applyFon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0" fillId="7" borderId="1" applyNumberFormat="0" applyAlignment="0" applyProtection="0"/>
    <xf numFmtId="0" fontId="7" fillId="0" borderId="0"/>
    <xf numFmtId="0" fontId="27" fillId="0" borderId="0"/>
    <xf numFmtId="0" fontId="27" fillId="0" borderId="0"/>
    <xf numFmtId="0" fontId="20" fillId="7" borderId="1" applyNumberFormat="0" applyAlignment="0" applyProtection="0"/>
    <xf numFmtId="0" fontId="20" fillId="7" borderId="1" applyNumberForma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3" fillId="20" borderId="8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44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7" fillId="0" borderId="0"/>
    <xf numFmtId="0" fontId="7" fillId="0" borderId="0"/>
    <xf numFmtId="44" fontId="5" fillId="0" borderId="0" applyFont="0" applyFill="0" applyBorder="0" applyAlignment="0" applyProtection="0"/>
    <xf numFmtId="168" fontId="7" fillId="0" borderId="0"/>
    <xf numFmtId="0" fontId="13" fillId="20" borderId="1" applyNumberFormat="0" applyAlignment="0" applyProtection="0"/>
    <xf numFmtId="0" fontId="13" fillId="20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7" fillId="23" borderId="7" applyNumberFormat="0" applyFon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7" fillId="23" borderId="7" applyNumberFormat="0" applyFon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20" fillId="7" borderId="1" applyNumberFormat="0" applyAlignment="0" applyProtection="0"/>
    <xf numFmtId="0" fontId="7" fillId="23" borderId="7" applyNumberFormat="0" applyFont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0" fillId="7" borderId="1" applyNumberFormat="0" applyAlignment="0" applyProtection="0"/>
    <xf numFmtId="168" fontId="46" fillId="0" borderId="0"/>
    <xf numFmtId="0" fontId="5" fillId="2" borderId="0"/>
    <xf numFmtId="0" fontId="5" fillId="2" borderId="0"/>
    <xf numFmtId="0" fontId="5" fillId="3" borderId="0"/>
    <xf numFmtId="0" fontId="5" fillId="3" borderId="0"/>
    <xf numFmtId="0" fontId="5" fillId="4" borderId="0"/>
    <xf numFmtId="0" fontId="5" fillId="4" borderId="0"/>
    <xf numFmtId="0" fontId="5" fillId="5" borderId="0"/>
    <xf numFmtId="0" fontId="5" fillId="5" borderId="0"/>
    <xf numFmtId="0" fontId="5" fillId="6" borderId="0"/>
    <xf numFmtId="0" fontId="5" fillId="6" borderId="0"/>
    <xf numFmtId="0" fontId="5" fillId="7" borderId="0"/>
    <xf numFmtId="0" fontId="5" fillId="7" borderId="0"/>
    <xf numFmtId="0" fontId="5" fillId="8" borderId="0"/>
    <xf numFmtId="0" fontId="5" fillId="8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5" borderId="0"/>
    <xf numFmtId="0" fontId="5" fillId="5" borderId="0"/>
    <xf numFmtId="0" fontId="5" fillId="8" borderId="0"/>
    <xf numFmtId="0" fontId="5" fillId="8" borderId="0"/>
    <xf numFmtId="0" fontId="5" fillId="11" borderId="0"/>
    <xf numFmtId="0" fontId="5" fillId="11" borderId="0"/>
    <xf numFmtId="0" fontId="11" fillId="12" borderId="0"/>
    <xf numFmtId="0" fontId="11" fillId="12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5" borderId="0"/>
    <xf numFmtId="0" fontId="11" fillId="15" borderId="0"/>
    <xf numFmtId="0" fontId="11" fillId="16" borderId="0"/>
    <xf numFmtId="0" fontId="11" fillId="16" borderId="0"/>
    <xf numFmtId="0" fontId="11" fillId="17" borderId="0"/>
    <xf numFmtId="0" fontId="11" fillId="17" borderId="0"/>
    <xf numFmtId="0" fontId="11" fillId="18" borderId="0"/>
    <xf numFmtId="0" fontId="11" fillId="18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9" borderId="0"/>
    <xf numFmtId="0" fontId="11" fillId="19" borderId="0"/>
    <xf numFmtId="0" fontId="12" fillId="3" borderId="0"/>
    <xf numFmtId="0" fontId="12" fillId="3" borderId="0"/>
    <xf numFmtId="0" fontId="13" fillId="20" borderId="1"/>
    <xf numFmtId="0" fontId="13" fillId="20" borderId="1"/>
    <xf numFmtId="0" fontId="14" fillId="21" borderId="2"/>
    <xf numFmtId="0" fontId="14" fillId="21" borderId="2"/>
    <xf numFmtId="44" fontId="5" fillId="0" borderId="0"/>
    <xf numFmtId="44" fontId="7" fillId="0" borderId="0"/>
    <xf numFmtId="44" fontId="7" fillId="0" borderId="0"/>
    <xf numFmtId="0" fontId="15" fillId="0" borderId="0"/>
    <xf numFmtId="0" fontId="15" fillId="0" borderId="0"/>
    <xf numFmtId="0" fontId="16" fillId="4" borderId="0"/>
    <xf numFmtId="0" fontId="16" fillId="4" borderId="0"/>
    <xf numFmtId="0" fontId="17" fillId="0" borderId="3"/>
    <xf numFmtId="0" fontId="17" fillId="0" borderId="3"/>
    <xf numFmtId="0" fontId="18" fillId="0" borderId="4"/>
    <xf numFmtId="0" fontId="18" fillId="0" borderId="4"/>
    <xf numFmtId="0" fontId="19" fillId="0" borderId="5"/>
    <xf numFmtId="0" fontId="19" fillId="0" borderId="5"/>
    <xf numFmtId="0" fontId="19" fillId="0" borderId="0"/>
    <xf numFmtId="0" fontId="19" fillId="0" borderId="0"/>
    <xf numFmtId="0" fontId="20" fillId="7" borderId="1"/>
    <xf numFmtId="0" fontId="20" fillId="7" borderId="1"/>
    <xf numFmtId="0" fontId="21" fillId="0" borderId="6"/>
    <xf numFmtId="0" fontId="21" fillId="0" borderId="6"/>
    <xf numFmtId="0" fontId="22" fillId="22" borderId="0"/>
    <xf numFmtId="0" fontId="22" fillId="22" borderId="0"/>
    <xf numFmtId="0" fontId="7" fillId="23" borderId="7"/>
    <xf numFmtId="0" fontId="7" fillId="23" borderId="7"/>
    <xf numFmtId="0" fontId="23" fillId="20" borderId="8"/>
    <xf numFmtId="0" fontId="23" fillId="20" borderId="8"/>
    <xf numFmtId="0" fontId="24" fillId="0" borderId="0"/>
    <xf numFmtId="0" fontId="24" fillId="0" borderId="0"/>
    <xf numFmtId="0" fontId="1" fillId="0" borderId="9"/>
    <xf numFmtId="0" fontId="1" fillId="0" borderId="9"/>
    <xf numFmtId="0" fontId="25" fillId="0" borderId="0"/>
    <xf numFmtId="0" fontId="25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24" borderId="11" xfId="78" applyFont="1" applyFill="1" applyBorder="1" applyAlignment="1">
      <alignment horizontal="center" vertical="top" wrapText="1"/>
    </xf>
    <xf numFmtId="14" fontId="4" fillId="24" borderId="11" xfId="78" applyNumberFormat="1" applyFont="1" applyFill="1" applyBorder="1" applyAlignment="1">
      <alignment horizontal="center" vertical="top" wrapText="1"/>
    </xf>
    <xf numFmtId="165" fontId="4" fillId="24" borderId="11" xfId="78" applyNumberFormat="1" applyFont="1" applyFill="1" applyBorder="1" applyAlignment="1">
      <alignment horizontal="center" vertical="top" wrapText="1"/>
    </xf>
    <xf numFmtId="21" fontId="4" fillId="24" borderId="11" xfId="78" applyNumberFormat="1" applyFont="1" applyFill="1" applyBorder="1" applyAlignment="1">
      <alignment horizontal="center" vertical="top" wrapText="1"/>
    </xf>
    <xf numFmtId="44" fontId="4" fillId="24" borderId="11" xfId="55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44" fontId="9" fillId="0" borderId="13" xfId="0" applyNumberFormat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9" fontId="9" fillId="0" borderId="14" xfId="0" applyNumberFormat="1" applyFont="1" applyBorder="1" applyAlignment="1">
      <alignment horizontal="center"/>
    </xf>
    <xf numFmtId="44" fontId="9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44" fontId="5" fillId="0" borderId="19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9" fontId="9" fillId="0" borderId="2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9" fillId="0" borderId="22" xfId="0" applyNumberFormat="1" applyFont="1" applyBorder="1" applyAlignment="1">
      <alignment horizontal="center"/>
    </xf>
    <xf numFmtId="0" fontId="1" fillId="0" borderId="0" xfId="0" applyFont="1"/>
    <xf numFmtId="167" fontId="4" fillId="24" borderId="11" xfId="55" applyNumberFormat="1" applyFont="1" applyFill="1" applyBorder="1" applyAlignment="1">
      <alignment horizontal="center" vertical="top" wrapText="1"/>
    </xf>
    <xf numFmtId="167" fontId="0" fillId="0" borderId="0" xfId="0" applyNumberFormat="1"/>
    <xf numFmtId="0" fontId="0" fillId="0" borderId="0" xfId="0" pivotButton="1"/>
    <xf numFmtId="169" fontId="0" fillId="0" borderId="0" xfId="0" applyNumberFormat="1"/>
    <xf numFmtId="44" fontId="1" fillId="0" borderId="0" xfId="55" applyFont="1" applyAlignment="1">
      <alignment horizontal="center"/>
    </xf>
    <xf numFmtId="1" fontId="0" fillId="0" borderId="0" xfId="0" applyNumberFormat="1" applyAlignment="1">
      <alignment horizontal="center" vertical="center"/>
    </xf>
    <xf numFmtId="166" fontId="6" fillId="0" borderId="0" xfId="0" applyNumberFormat="1" applyFont="1" applyAlignment="1" applyProtection="1">
      <alignment horizontal="center" vertical="center" wrapText="1"/>
      <protection locked="0"/>
    </xf>
    <xf numFmtId="14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44" fontId="6" fillId="0" borderId="0" xfId="55" applyFont="1" applyFill="1" applyAlignment="1">
      <alignment horizontal="center" vertical="center" wrapText="1"/>
    </xf>
    <xf numFmtId="44" fontId="6" fillId="0" borderId="0" xfId="56" applyFont="1" applyFill="1" applyAlignment="1">
      <alignment horizontal="center" vertical="center" wrapText="1"/>
    </xf>
    <xf numFmtId="44" fontId="47" fillId="0" borderId="14" xfId="55" applyFont="1" applyFill="1" applyBorder="1"/>
    <xf numFmtId="0" fontId="6" fillId="0" borderId="0" xfId="0" applyFont="1" applyAlignment="1">
      <alignment horizontal="left"/>
    </xf>
    <xf numFmtId="0" fontId="9" fillId="0" borderId="0" xfId="0" applyFont="1"/>
    <xf numFmtId="44" fontId="48" fillId="0" borderId="0" xfId="55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left"/>
    </xf>
    <xf numFmtId="44" fontId="47" fillId="0" borderId="0" xfId="55" applyFont="1" applyFill="1" applyBorder="1"/>
    <xf numFmtId="0" fontId="5" fillId="0" borderId="14" xfId="0" applyFon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6" fillId="0" borderId="23" xfId="70" applyBorder="1" applyAlignment="1" applyProtection="1"/>
    <xf numFmtId="0" fontId="27" fillId="0" borderId="23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7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3" xfId="0" applyBorder="1" applyAlignment="1">
      <alignment horizontal="left"/>
    </xf>
    <xf numFmtId="0" fontId="27" fillId="0" borderId="23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0" fillId="0" borderId="24" xfId="0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14" fontId="0" fillId="0" borderId="0" xfId="0" applyNumberFormat="1" applyAlignment="1">
      <alignment horizontal="left"/>
    </xf>
    <xf numFmtId="164" fontId="27" fillId="0" borderId="10" xfId="0" applyNumberFormat="1" applyFont="1" applyBorder="1" applyAlignment="1">
      <alignment horizontal="left"/>
    </xf>
    <xf numFmtId="0" fontId="0" fillId="0" borderId="0" xfId="0"/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14" fontId="0" fillId="0" borderId="0" xfId="0" applyNumberFormat="1"/>
    <xf numFmtId="46" fontId="6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7" fontId="6" fillId="0" borderId="0" xfId="303" applyNumberFormat="1" applyFont="1" applyAlignment="1">
      <alignment horizontal="center" vertical="center" wrapText="1"/>
    </xf>
    <xf numFmtId="17" fontId="0" fillId="0" borderId="0" xfId="0" applyNumberFormat="1"/>
    <xf numFmtId="1" fontId="7" fillId="0" borderId="0" xfId="303" applyNumberFormat="1"/>
    <xf numFmtId="7" fontId="6" fillId="0" borderId="0" xfId="0" applyNumberFormat="1" applyFont="1" applyAlignment="1">
      <alignment horizontal="center" vertical="center" wrapText="1"/>
    </xf>
  </cellXfs>
  <cellStyles count="333">
    <cellStyle name="20% - Accent1" xfId="107" builtinId="30" customBuiltin="1"/>
    <cellStyle name="20% - Accent1 2" xfId="1" xr:uid="{00000000-0005-0000-0000-000001000000}"/>
    <cellStyle name="20% - Accent1 2 2" xfId="248" xr:uid="{8E33FEE3-500A-421D-BF7A-591CD47A7902}"/>
    <cellStyle name="20% - Accent1 3" xfId="2" xr:uid="{00000000-0005-0000-0000-000002000000}"/>
    <cellStyle name="20% - Accent1 3 2" xfId="249" xr:uid="{F8D24219-6186-4B6E-8CAD-29C3C35149C5}"/>
    <cellStyle name="20% - Accent2" xfId="111" builtinId="34" customBuiltin="1"/>
    <cellStyle name="20% - Accent2 2" xfId="3" xr:uid="{00000000-0005-0000-0000-000004000000}"/>
    <cellStyle name="20% - Accent2 2 2" xfId="250" xr:uid="{ECFEC36C-7D4C-4839-AEA7-AA8B480148F3}"/>
    <cellStyle name="20% - Accent2 3" xfId="4" xr:uid="{00000000-0005-0000-0000-000005000000}"/>
    <cellStyle name="20% - Accent2 3 2" xfId="251" xr:uid="{65C43CBC-A0A5-467E-A87D-2382E2AB3440}"/>
    <cellStyle name="20% - Accent3" xfId="115" builtinId="38" customBuiltin="1"/>
    <cellStyle name="20% - Accent3 2" xfId="5" xr:uid="{00000000-0005-0000-0000-000007000000}"/>
    <cellStyle name="20% - Accent3 2 2" xfId="252" xr:uid="{424D709B-0093-4FD4-996A-BD2C1CFDAAC9}"/>
    <cellStyle name="20% - Accent3 3" xfId="6" xr:uid="{00000000-0005-0000-0000-000008000000}"/>
    <cellStyle name="20% - Accent3 3 2" xfId="253" xr:uid="{C368D205-472D-40D6-BB1F-E63BF0CA22DA}"/>
    <cellStyle name="20% - Accent4" xfId="119" builtinId="42" customBuiltin="1"/>
    <cellStyle name="20% - Accent4 2" xfId="7" xr:uid="{00000000-0005-0000-0000-00000A000000}"/>
    <cellStyle name="20% - Accent4 2 2" xfId="254" xr:uid="{933B8EC1-1BE4-43BE-AC85-C4042497E128}"/>
    <cellStyle name="20% - Accent4 3" xfId="8" xr:uid="{00000000-0005-0000-0000-00000B000000}"/>
    <cellStyle name="20% - Accent4 3 2" xfId="255" xr:uid="{AC2CD5A1-67EC-436C-84AB-6A4C7F144BBD}"/>
    <cellStyle name="20% - Accent5" xfId="123" builtinId="46" customBuiltin="1"/>
    <cellStyle name="20% - Accent5 2" xfId="9" xr:uid="{00000000-0005-0000-0000-00000D000000}"/>
    <cellStyle name="20% - Accent5 2 2" xfId="256" xr:uid="{71307882-250D-42F6-AD08-267EEFF463DA}"/>
    <cellStyle name="20% - Accent5 3" xfId="10" xr:uid="{00000000-0005-0000-0000-00000E000000}"/>
    <cellStyle name="20% - Accent5 3 2" xfId="257" xr:uid="{4B4A5B38-8A80-4CAB-A67A-731EBB1A99B1}"/>
    <cellStyle name="20% - Accent6" xfId="127" builtinId="50" customBuiltin="1"/>
    <cellStyle name="20% - Accent6 2" xfId="11" xr:uid="{00000000-0005-0000-0000-000010000000}"/>
    <cellStyle name="20% - Accent6 2 2" xfId="258" xr:uid="{A9E226C6-6AB8-464D-B4AC-6435481F63C4}"/>
    <cellStyle name="20% - Accent6 3" xfId="12" xr:uid="{00000000-0005-0000-0000-000011000000}"/>
    <cellStyle name="20% - Accent6 3 2" xfId="259" xr:uid="{6B3BA5AD-2772-4A08-B7F3-0EBFA2F3C9C0}"/>
    <cellStyle name="40% - Accent1" xfId="108" builtinId="31" customBuiltin="1"/>
    <cellStyle name="40% - Accent1 2" xfId="13" xr:uid="{00000000-0005-0000-0000-000013000000}"/>
    <cellStyle name="40% - Accent1 2 2" xfId="260" xr:uid="{641FE2CB-480F-4D2E-891C-CB78B3C4BB33}"/>
    <cellStyle name="40% - Accent1 3" xfId="14" xr:uid="{00000000-0005-0000-0000-000014000000}"/>
    <cellStyle name="40% - Accent1 3 2" xfId="261" xr:uid="{D2BF5F2C-6CD8-4538-B63E-C363DC278851}"/>
    <cellStyle name="40% - Accent2" xfId="112" builtinId="35" customBuiltin="1"/>
    <cellStyle name="40% - Accent2 2" xfId="15" xr:uid="{00000000-0005-0000-0000-000016000000}"/>
    <cellStyle name="40% - Accent2 2 2" xfId="262" xr:uid="{AC7CF881-3DD3-4766-834C-55B06296AE22}"/>
    <cellStyle name="40% - Accent2 3" xfId="16" xr:uid="{00000000-0005-0000-0000-000017000000}"/>
    <cellStyle name="40% - Accent2 3 2" xfId="263" xr:uid="{C0B372BF-51B9-45E9-A416-8B082497CFD4}"/>
    <cellStyle name="40% - Accent3" xfId="116" builtinId="39" customBuiltin="1"/>
    <cellStyle name="40% - Accent3 2" xfId="17" xr:uid="{00000000-0005-0000-0000-000019000000}"/>
    <cellStyle name="40% - Accent3 2 2" xfId="264" xr:uid="{3159230A-3816-471D-9818-0ACF95531CB6}"/>
    <cellStyle name="40% - Accent3 3" xfId="18" xr:uid="{00000000-0005-0000-0000-00001A000000}"/>
    <cellStyle name="40% - Accent3 3 2" xfId="265" xr:uid="{0683D5B9-F67C-46B0-BF6E-AD929F7ABE6F}"/>
    <cellStyle name="40% - Accent4" xfId="120" builtinId="43" customBuiltin="1"/>
    <cellStyle name="40% - Accent4 2" xfId="19" xr:uid="{00000000-0005-0000-0000-00001C000000}"/>
    <cellStyle name="40% - Accent4 2 2" xfId="266" xr:uid="{4A21F751-2675-4765-BEAE-CDE44AA588E3}"/>
    <cellStyle name="40% - Accent4 3" xfId="20" xr:uid="{00000000-0005-0000-0000-00001D000000}"/>
    <cellStyle name="40% - Accent4 3 2" xfId="267" xr:uid="{01533BE3-CA71-40DC-8F5E-32FE569C187E}"/>
    <cellStyle name="40% - Accent5" xfId="124" builtinId="47" customBuiltin="1"/>
    <cellStyle name="40% - Accent5 2" xfId="21" xr:uid="{00000000-0005-0000-0000-00001F000000}"/>
    <cellStyle name="40% - Accent5 2 2" xfId="268" xr:uid="{7E5BA365-1E19-49C2-BC28-A865A3E74A61}"/>
    <cellStyle name="40% - Accent5 3" xfId="22" xr:uid="{00000000-0005-0000-0000-000020000000}"/>
    <cellStyle name="40% - Accent5 3 2" xfId="269" xr:uid="{1CC12150-1192-46CC-84D9-2B8925ADF1E8}"/>
    <cellStyle name="40% - Accent6" xfId="128" builtinId="51" customBuiltin="1"/>
    <cellStyle name="40% - Accent6 2" xfId="23" xr:uid="{00000000-0005-0000-0000-000022000000}"/>
    <cellStyle name="40% - Accent6 2 2" xfId="270" xr:uid="{E788BAE4-B10A-4313-8E51-527B3A830BA8}"/>
    <cellStyle name="40% - Accent6 3" xfId="24" xr:uid="{00000000-0005-0000-0000-000023000000}"/>
    <cellStyle name="40% - Accent6 3 2" xfId="271" xr:uid="{B1136B0D-F77D-40E3-A0E8-88E8BC7B8AC8}"/>
    <cellStyle name="60% - Accent1" xfId="109" builtinId="32" customBuiltin="1"/>
    <cellStyle name="60% - Accent1 2" xfId="25" xr:uid="{00000000-0005-0000-0000-000025000000}"/>
    <cellStyle name="60% - Accent1 2 2" xfId="272" xr:uid="{9442D57F-B9C9-4362-9829-9E0B449FB928}"/>
    <cellStyle name="60% - Accent1 3" xfId="26" xr:uid="{00000000-0005-0000-0000-000026000000}"/>
    <cellStyle name="60% - Accent1 3 2" xfId="273" xr:uid="{AEB0A312-A3F0-49E1-A7D3-A57605B413AB}"/>
    <cellStyle name="60% - Accent2" xfId="113" builtinId="36" customBuiltin="1"/>
    <cellStyle name="60% - Accent2 2" xfId="27" xr:uid="{00000000-0005-0000-0000-000028000000}"/>
    <cellStyle name="60% - Accent2 2 2" xfId="274" xr:uid="{1271A87C-7AD3-4630-81C1-D8789DA67AFC}"/>
    <cellStyle name="60% - Accent2 3" xfId="28" xr:uid="{00000000-0005-0000-0000-000029000000}"/>
    <cellStyle name="60% - Accent2 3 2" xfId="275" xr:uid="{60F4C3FE-0B3A-4DC2-AE0D-11BF44657AF9}"/>
    <cellStyle name="60% - Accent3" xfId="117" builtinId="40" customBuiltin="1"/>
    <cellStyle name="60% - Accent3 2" xfId="29" xr:uid="{00000000-0005-0000-0000-00002B000000}"/>
    <cellStyle name="60% - Accent3 2 2" xfId="276" xr:uid="{B0128F4B-AE17-41F9-8C37-7ABD4BB63D5D}"/>
    <cellStyle name="60% - Accent3 3" xfId="30" xr:uid="{00000000-0005-0000-0000-00002C000000}"/>
    <cellStyle name="60% - Accent3 3 2" xfId="277" xr:uid="{A6CD3187-CEDD-4D24-8BF9-B6716139E4BC}"/>
    <cellStyle name="60% - Accent4" xfId="121" builtinId="44" customBuiltin="1"/>
    <cellStyle name="60% - Accent4 2" xfId="31" xr:uid="{00000000-0005-0000-0000-00002E000000}"/>
    <cellStyle name="60% - Accent4 2 2" xfId="278" xr:uid="{D8A389D3-EA07-4130-91FA-92816D96A02A}"/>
    <cellStyle name="60% - Accent4 3" xfId="32" xr:uid="{00000000-0005-0000-0000-00002F000000}"/>
    <cellStyle name="60% - Accent4 3 2" xfId="279" xr:uid="{7FD02B13-D367-4E77-A987-B7B8231599CC}"/>
    <cellStyle name="60% - Accent5" xfId="125" builtinId="48" customBuiltin="1"/>
    <cellStyle name="60% - Accent5 2" xfId="33" xr:uid="{00000000-0005-0000-0000-000031000000}"/>
    <cellStyle name="60% - Accent5 2 2" xfId="280" xr:uid="{FC4FB524-41C0-40A7-BFBF-C2109F2C7444}"/>
    <cellStyle name="60% - Accent5 3" xfId="34" xr:uid="{00000000-0005-0000-0000-000032000000}"/>
    <cellStyle name="60% - Accent5 3 2" xfId="281" xr:uid="{D3533C1B-7396-4B17-9AF5-DFCD62D98F51}"/>
    <cellStyle name="60% - Accent6" xfId="129" builtinId="52" customBuiltin="1"/>
    <cellStyle name="60% - Accent6 2" xfId="35" xr:uid="{00000000-0005-0000-0000-000034000000}"/>
    <cellStyle name="60% - Accent6 2 2" xfId="282" xr:uid="{7FC5FA9C-FF55-42AE-914E-70A6E726DD3E}"/>
    <cellStyle name="60% - Accent6 3" xfId="36" xr:uid="{00000000-0005-0000-0000-000035000000}"/>
    <cellStyle name="60% - Accent6 3 2" xfId="283" xr:uid="{F59A91CC-7618-4027-B361-0CD0E69E0241}"/>
    <cellStyle name="Accent1" xfId="106" builtinId="29" customBuiltin="1"/>
    <cellStyle name="Accent1 2" xfId="37" xr:uid="{00000000-0005-0000-0000-000037000000}"/>
    <cellStyle name="Accent1 2 2" xfId="284" xr:uid="{20AB6532-AB72-4350-A0A9-7F34972E99BA}"/>
    <cellStyle name="Accent1 3" xfId="38" xr:uid="{00000000-0005-0000-0000-000038000000}"/>
    <cellStyle name="Accent1 3 2" xfId="285" xr:uid="{2D008A4F-9652-484A-848D-CD7195CD1A5C}"/>
    <cellStyle name="Accent2" xfId="110" builtinId="33" customBuiltin="1"/>
    <cellStyle name="Accent2 2" xfId="39" xr:uid="{00000000-0005-0000-0000-00003A000000}"/>
    <cellStyle name="Accent2 2 2" xfId="286" xr:uid="{CA52C78E-18E6-4C2F-A189-05B66FB0EE78}"/>
    <cellStyle name="Accent2 3" xfId="40" xr:uid="{00000000-0005-0000-0000-00003B000000}"/>
    <cellStyle name="Accent2 3 2" xfId="287" xr:uid="{9D657205-FD22-41C8-A6F9-9DD4AEDE0781}"/>
    <cellStyle name="Accent3" xfId="114" builtinId="37" customBuiltin="1"/>
    <cellStyle name="Accent3 2" xfId="41" xr:uid="{00000000-0005-0000-0000-00003D000000}"/>
    <cellStyle name="Accent3 2 2" xfId="288" xr:uid="{71FC23B4-335E-496E-AE94-2CA41915B19D}"/>
    <cellStyle name="Accent3 3" xfId="42" xr:uid="{00000000-0005-0000-0000-00003E000000}"/>
    <cellStyle name="Accent3 3 2" xfId="289" xr:uid="{364C3E1F-D5D8-4E13-84E9-29F4DD7C97A9}"/>
    <cellStyle name="Accent4" xfId="118" builtinId="41" customBuiltin="1"/>
    <cellStyle name="Accent4 2" xfId="43" xr:uid="{00000000-0005-0000-0000-000040000000}"/>
    <cellStyle name="Accent4 2 2" xfId="290" xr:uid="{F79785C4-7FE5-46D7-8112-B9F651914E30}"/>
    <cellStyle name="Accent4 3" xfId="44" xr:uid="{00000000-0005-0000-0000-000041000000}"/>
    <cellStyle name="Accent4 3 2" xfId="291" xr:uid="{B73701F2-4D4A-42E3-8115-4E2C717C8B56}"/>
    <cellStyle name="Accent5" xfId="122" builtinId="45" customBuiltin="1"/>
    <cellStyle name="Accent5 2" xfId="45" xr:uid="{00000000-0005-0000-0000-000043000000}"/>
    <cellStyle name="Accent5 2 2" xfId="292" xr:uid="{A08F982B-C027-4306-9CDA-760442E2CBED}"/>
    <cellStyle name="Accent5 3" xfId="46" xr:uid="{00000000-0005-0000-0000-000044000000}"/>
    <cellStyle name="Accent5 3 2" xfId="293" xr:uid="{3E1F1FBA-33A7-486C-9DE7-1B5218C9D90B}"/>
    <cellStyle name="Accent6" xfId="126" builtinId="49" customBuiltin="1"/>
    <cellStyle name="Accent6 2" xfId="47" xr:uid="{00000000-0005-0000-0000-000046000000}"/>
    <cellStyle name="Accent6 2 2" xfId="294" xr:uid="{9D486C76-7309-46CA-970E-4DE7FA4AB757}"/>
    <cellStyle name="Accent6 3" xfId="48" xr:uid="{00000000-0005-0000-0000-000047000000}"/>
    <cellStyle name="Accent6 3 2" xfId="295" xr:uid="{81755FB9-0933-486E-9D59-699CA1DD7EDF}"/>
    <cellStyle name="Bad" xfId="95" builtinId="27" customBuiltin="1"/>
    <cellStyle name="Bad 2" xfId="49" xr:uid="{00000000-0005-0000-0000-000049000000}"/>
    <cellStyle name="Bad 2 2" xfId="296" xr:uid="{E62BC0CE-FDDE-4C10-97C5-68AFC602E060}"/>
    <cellStyle name="Bad 3" xfId="50" xr:uid="{00000000-0005-0000-0000-00004A000000}"/>
    <cellStyle name="Bad 3 2" xfId="297" xr:uid="{50DC7CD1-3FE8-427E-8A53-8681F26E3D53}"/>
    <cellStyle name="Calculation" xfId="99" builtinId="22" customBuiltin="1"/>
    <cellStyle name="Calculation 2" xfId="51" xr:uid="{00000000-0005-0000-0000-00004C000000}"/>
    <cellStyle name="Calculation 2 2" xfId="145" xr:uid="{00000000-0005-0000-0000-00004D000000}"/>
    <cellStyle name="Calculation 2 2 2" xfId="168" xr:uid="{00000000-0005-0000-0000-00004E000000}"/>
    <cellStyle name="Calculation 2 2 2 2" xfId="228" xr:uid="{00000000-0005-0000-0000-00004F000000}"/>
    <cellStyle name="Calculation 2 2 3" xfId="207" xr:uid="{00000000-0005-0000-0000-000050000000}"/>
    <cellStyle name="Calculation 2 3" xfId="144" xr:uid="{00000000-0005-0000-0000-000051000000}"/>
    <cellStyle name="Calculation 2 3 2" xfId="220" xr:uid="{00000000-0005-0000-0000-000052000000}"/>
    <cellStyle name="Calculation 2 4" xfId="178" xr:uid="{00000000-0005-0000-0000-000053000000}"/>
    <cellStyle name="Calculation 2 4 2" xfId="238" xr:uid="{00000000-0005-0000-0000-000054000000}"/>
    <cellStyle name="Calculation 2 5" xfId="199" xr:uid="{00000000-0005-0000-0000-000055000000}"/>
    <cellStyle name="Calculation 2 6" xfId="298" xr:uid="{0EB7528E-E0FE-4E5F-AD79-12C59D864D0C}"/>
    <cellStyle name="Calculation 3" xfId="52" xr:uid="{00000000-0005-0000-0000-000056000000}"/>
    <cellStyle name="Calculation 3 2" xfId="146" xr:uid="{00000000-0005-0000-0000-000057000000}"/>
    <cellStyle name="Calculation 3 2 2" xfId="169" xr:uid="{00000000-0005-0000-0000-000058000000}"/>
    <cellStyle name="Calculation 3 2 2 2" xfId="229" xr:uid="{00000000-0005-0000-0000-000059000000}"/>
    <cellStyle name="Calculation 3 2 3" xfId="208" xr:uid="{00000000-0005-0000-0000-00005A000000}"/>
    <cellStyle name="Calculation 3 3" xfId="143" xr:uid="{00000000-0005-0000-0000-00005B000000}"/>
    <cellStyle name="Calculation 3 3 2" xfId="219" xr:uid="{00000000-0005-0000-0000-00005C000000}"/>
    <cellStyle name="Calculation 3 4" xfId="179" xr:uid="{00000000-0005-0000-0000-00005D000000}"/>
    <cellStyle name="Calculation 3 4 2" xfId="239" xr:uid="{00000000-0005-0000-0000-00005E000000}"/>
    <cellStyle name="Calculation 3 5" xfId="198" xr:uid="{00000000-0005-0000-0000-00005F000000}"/>
    <cellStyle name="Calculation 3 6" xfId="299" xr:uid="{9E31006E-A7CF-42E8-92E3-FCC452DC20A0}"/>
    <cellStyle name="Check Cell" xfId="101" builtinId="23" customBuiltin="1"/>
    <cellStyle name="Check Cell 2" xfId="53" xr:uid="{00000000-0005-0000-0000-000061000000}"/>
    <cellStyle name="Check Cell 2 2" xfId="300" xr:uid="{A9B8390E-3E69-492B-9A0F-284608BE8B78}"/>
    <cellStyle name="Check Cell 3" xfId="54" xr:uid="{00000000-0005-0000-0000-000062000000}"/>
    <cellStyle name="Check Cell 3 2" xfId="301" xr:uid="{C6E97325-D6E6-4671-AB10-4C1CAE84540F}"/>
    <cellStyle name="Currency" xfId="55" builtinId="4"/>
    <cellStyle name="Currency 2" xfId="56" xr:uid="{00000000-0005-0000-0000-000064000000}"/>
    <cellStyle name="Currency 2 2" xfId="131" xr:uid="{00000000-0005-0000-0000-000065000000}"/>
    <cellStyle name="Currency 2 3" xfId="303" xr:uid="{A70C89F6-05A3-40F1-A032-86FF2CB63902}"/>
    <cellStyle name="Currency 3" xfId="57" xr:uid="{00000000-0005-0000-0000-000066000000}"/>
    <cellStyle name="Currency 3 2" xfId="138" xr:uid="{00000000-0005-0000-0000-000067000000}"/>
    <cellStyle name="Currency 3 2 2" xfId="205" xr:uid="{00000000-0005-0000-0000-000068000000}"/>
    <cellStyle name="Currency 3 3" xfId="304" xr:uid="{81F2536C-1586-4DFC-A213-B1AF4CE43408}"/>
    <cellStyle name="Currency 4" xfId="133" xr:uid="{00000000-0005-0000-0000-000069000000}"/>
    <cellStyle name="Currency 4 2" xfId="158" xr:uid="{00000000-0005-0000-0000-00006A000000}"/>
    <cellStyle name="Currency 5" xfId="137" xr:uid="{00000000-0005-0000-0000-00006B000000}"/>
    <cellStyle name="Currency 6" xfId="302" xr:uid="{35B602E7-D12A-4F4D-B6AF-FD4D1831CE91}"/>
    <cellStyle name="Explanatory Text" xfId="104" builtinId="53" customBuiltin="1"/>
    <cellStyle name="Explanatory Text 2" xfId="58" xr:uid="{00000000-0005-0000-0000-00006D000000}"/>
    <cellStyle name="Explanatory Text 2 2" xfId="305" xr:uid="{BCBBCFE9-2644-406A-BA63-C73401977705}"/>
    <cellStyle name="Explanatory Text 3" xfId="59" xr:uid="{00000000-0005-0000-0000-00006E000000}"/>
    <cellStyle name="Explanatory Text 3 2" xfId="306" xr:uid="{7B938E0C-ED37-4CE4-B22F-D32B9134FEE8}"/>
    <cellStyle name="Good" xfId="94" builtinId="26" customBuiltin="1"/>
    <cellStyle name="Good 2" xfId="60" xr:uid="{00000000-0005-0000-0000-000070000000}"/>
    <cellStyle name="Good 2 2" xfId="307" xr:uid="{C9185369-EED8-4457-9FDA-5601E70A69D4}"/>
    <cellStyle name="Good 3" xfId="61" xr:uid="{00000000-0005-0000-0000-000071000000}"/>
    <cellStyle name="Good 3 2" xfId="308" xr:uid="{CBC51B0F-C023-4046-B3DD-01A15D4CC68E}"/>
    <cellStyle name="Heading 1" xfId="90" builtinId="16" customBuiltin="1"/>
    <cellStyle name="Heading 1 2" xfId="62" xr:uid="{00000000-0005-0000-0000-000073000000}"/>
    <cellStyle name="Heading 1 2 2" xfId="147" xr:uid="{00000000-0005-0000-0000-000074000000}"/>
    <cellStyle name="Heading 1 2 3" xfId="309" xr:uid="{01B21DD9-8211-438B-A634-D0246FB238F4}"/>
    <cellStyle name="Heading 1 3" xfId="63" xr:uid="{00000000-0005-0000-0000-000075000000}"/>
    <cellStyle name="Heading 1 3 2" xfId="148" xr:uid="{00000000-0005-0000-0000-000076000000}"/>
    <cellStyle name="Heading 1 3 3" xfId="310" xr:uid="{67930DD3-DA3A-4FEC-AE31-D36638C2C3ED}"/>
    <cellStyle name="Heading 2" xfId="91" builtinId="17" customBuiltin="1"/>
    <cellStyle name="Heading 2 2" xfId="64" xr:uid="{00000000-0005-0000-0000-000078000000}"/>
    <cellStyle name="Heading 2 2 2" xfId="149" xr:uid="{00000000-0005-0000-0000-000079000000}"/>
    <cellStyle name="Heading 2 2 3" xfId="311" xr:uid="{E6F75A5F-ACB1-43C0-87D3-59769F62CB20}"/>
    <cellStyle name="Heading 2 3" xfId="65" xr:uid="{00000000-0005-0000-0000-00007A000000}"/>
    <cellStyle name="Heading 2 3 2" xfId="150" xr:uid="{00000000-0005-0000-0000-00007B000000}"/>
    <cellStyle name="Heading 2 3 3" xfId="312" xr:uid="{29D0E4A7-1F9D-4CC8-8D3C-EF4DCDB0C724}"/>
    <cellStyle name="Heading 3" xfId="92" builtinId="18" customBuiltin="1"/>
    <cellStyle name="Heading 3 2" xfId="66" xr:uid="{00000000-0005-0000-0000-00007D000000}"/>
    <cellStyle name="Heading 3 2 2" xfId="313" xr:uid="{8E60FFD5-CD46-4B3E-A54F-36FFB7D8983F}"/>
    <cellStyle name="Heading 3 3" xfId="67" xr:uid="{00000000-0005-0000-0000-00007E000000}"/>
    <cellStyle name="Heading 3 3 2" xfId="314" xr:uid="{684FCC0D-0AC0-4341-9B51-A3FCF8239373}"/>
    <cellStyle name="Heading 4" xfId="93" builtinId="19" customBuiltin="1"/>
    <cellStyle name="Heading 4 2" xfId="68" xr:uid="{00000000-0005-0000-0000-000080000000}"/>
    <cellStyle name="Heading 4 2 2" xfId="315" xr:uid="{B38242A4-0B76-469A-8F36-76ECA5272EE3}"/>
    <cellStyle name="Heading 4 3" xfId="69" xr:uid="{00000000-0005-0000-0000-000081000000}"/>
    <cellStyle name="Heading 4 3 2" xfId="316" xr:uid="{7E202F47-D281-4ED0-A95D-65ECB5FD6E51}"/>
    <cellStyle name="Hyperlink" xfId="70" builtinId="8"/>
    <cellStyle name="Hyperlink 2" xfId="134" xr:uid="{00000000-0005-0000-0000-000083000000}"/>
    <cellStyle name="Hyperlink 2 2" xfId="201" xr:uid="{00000000-0005-0000-0000-000084000000}"/>
    <cellStyle name="Input" xfId="97" builtinId="20" customBuiltin="1"/>
    <cellStyle name="Input 2" xfId="71" xr:uid="{00000000-0005-0000-0000-000086000000}"/>
    <cellStyle name="Input 2 2" xfId="151" xr:uid="{00000000-0005-0000-0000-000087000000}"/>
    <cellStyle name="Input 2 2 2" xfId="170" xr:uid="{00000000-0005-0000-0000-000088000000}"/>
    <cellStyle name="Input 2 2 2 2" xfId="230" xr:uid="{00000000-0005-0000-0000-000089000000}"/>
    <cellStyle name="Input 2 2 3" xfId="209" xr:uid="{00000000-0005-0000-0000-00008A000000}"/>
    <cellStyle name="Input 2 3" xfId="142" xr:uid="{00000000-0005-0000-0000-00008B000000}"/>
    <cellStyle name="Input 2 3 2" xfId="218" xr:uid="{00000000-0005-0000-0000-00008C000000}"/>
    <cellStyle name="Input 2 4" xfId="186" xr:uid="{00000000-0005-0000-0000-00008D000000}"/>
    <cellStyle name="Input 2 4 2" xfId="246" xr:uid="{00000000-0005-0000-0000-00008E000000}"/>
    <cellStyle name="Input 2 5" xfId="190" xr:uid="{00000000-0005-0000-0000-00008F000000}"/>
    <cellStyle name="Input 2 6" xfId="317" xr:uid="{F754820E-B3EF-4BC5-A938-CAFB9436D6E9}"/>
    <cellStyle name="Input 3" xfId="72" xr:uid="{00000000-0005-0000-0000-000090000000}"/>
    <cellStyle name="Input 3 2" xfId="152" xr:uid="{00000000-0005-0000-0000-000091000000}"/>
    <cellStyle name="Input 3 2 2" xfId="171" xr:uid="{00000000-0005-0000-0000-000092000000}"/>
    <cellStyle name="Input 3 2 2 2" xfId="231" xr:uid="{00000000-0005-0000-0000-000093000000}"/>
    <cellStyle name="Input 3 2 3" xfId="210" xr:uid="{00000000-0005-0000-0000-000094000000}"/>
    <cellStyle name="Input 3 3" xfId="141" xr:uid="{00000000-0005-0000-0000-000095000000}"/>
    <cellStyle name="Input 3 3 2" xfId="217" xr:uid="{00000000-0005-0000-0000-000096000000}"/>
    <cellStyle name="Input 3 4" xfId="180" xr:uid="{00000000-0005-0000-0000-000097000000}"/>
    <cellStyle name="Input 3 4 2" xfId="240" xr:uid="{00000000-0005-0000-0000-000098000000}"/>
    <cellStyle name="Input 3 5" xfId="191" xr:uid="{00000000-0005-0000-0000-000099000000}"/>
    <cellStyle name="Input 3 6" xfId="318" xr:uid="{086033CC-321A-4920-84DE-E2F115089B5D}"/>
    <cellStyle name="Linked Cell" xfId="100" builtinId="24" customBuiltin="1"/>
    <cellStyle name="Linked Cell 2" xfId="73" xr:uid="{00000000-0005-0000-0000-00009B000000}"/>
    <cellStyle name="Linked Cell 2 2" xfId="319" xr:uid="{5412889A-5DA1-43F0-B473-1426DF26AA91}"/>
    <cellStyle name="Linked Cell 3" xfId="74" xr:uid="{00000000-0005-0000-0000-00009C000000}"/>
    <cellStyle name="Linked Cell 3 2" xfId="320" xr:uid="{C217BF0A-9E08-47A2-B94C-021C2B8DD592}"/>
    <cellStyle name="Neutral" xfId="96" builtinId="28" customBuiltin="1"/>
    <cellStyle name="Neutral 2" xfId="75" xr:uid="{00000000-0005-0000-0000-00009E000000}"/>
    <cellStyle name="Neutral 2 2" xfId="321" xr:uid="{45B3213A-394C-42E9-9C59-135BF8FCCAA8}"/>
    <cellStyle name="Neutral 3" xfId="76" xr:uid="{00000000-0005-0000-0000-00009F000000}"/>
    <cellStyle name="Neutral 3 2" xfId="322" xr:uid="{E81F68D0-4DEB-4DFC-9332-E0EEE023F2FB}"/>
    <cellStyle name="Normal" xfId="0" builtinId="0"/>
    <cellStyle name="Normal 11" xfId="206" xr:uid="{00000000-0005-0000-0000-0000A1000000}"/>
    <cellStyle name="Normal 12" xfId="247" xr:uid="{00000000-0005-0000-0000-0000A2000000}"/>
    <cellStyle name="Normal 2" xfId="77" xr:uid="{00000000-0005-0000-0000-0000A3000000}"/>
    <cellStyle name="Normal 3" xfId="130" xr:uid="{00000000-0005-0000-0000-0000A4000000}"/>
    <cellStyle name="Normal 3 2" xfId="132" xr:uid="{00000000-0005-0000-0000-0000A5000000}"/>
    <cellStyle name="Normal 3 2 2" xfId="188" xr:uid="{00000000-0005-0000-0000-0000A6000000}"/>
    <cellStyle name="Normal 3 3" xfId="135" xr:uid="{00000000-0005-0000-0000-0000A7000000}"/>
    <cellStyle name="Normal 3 4" xfId="200" xr:uid="{00000000-0005-0000-0000-0000A8000000}"/>
    <cellStyle name="Normal 4" xfId="136" xr:uid="{00000000-0005-0000-0000-0000A9000000}"/>
    <cellStyle name="Normal 4 2" xfId="165" xr:uid="{00000000-0005-0000-0000-0000AA000000}"/>
    <cellStyle name="Normal 4 3" xfId="189" xr:uid="{00000000-0005-0000-0000-0000AB000000}"/>
    <cellStyle name="Normal 5" xfId="139" xr:uid="{00000000-0005-0000-0000-0000AC000000}"/>
    <cellStyle name="Normal 5 2" xfId="166" xr:uid="{00000000-0005-0000-0000-0000AD000000}"/>
    <cellStyle name="Normal 5 3" xfId="202" xr:uid="{00000000-0005-0000-0000-0000AE000000}"/>
    <cellStyle name="Normal 6" xfId="187" xr:uid="{00000000-0005-0000-0000-0000AF000000}"/>
    <cellStyle name="Normal 6 2" xfId="203" xr:uid="{00000000-0005-0000-0000-0000B0000000}"/>
    <cellStyle name="Normal 6 3" xfId="204" xr:uid="{00000000-0005-0000-0000-0000B1000000}"/>
    <cellStyle name="Normal_10 06 03" xfId="78" xr:uid="{00000000-0005-0000-0000-0000B2000000}"/>
    <cellStyle name="Note" xfId="103" builtinId="10" customBuiltin="1"/>
    <cellStyle name="Note 2" xfId="79" xr:uid="{00000000-0005-0000-0000-0000B4000000}"/>
    <cellStyle name="Note 2 2" xfId="140" xr:uid="{00000000-0005-0000-0000-0000B5000000}"/>
    <cellStyle name="Note 2 2 2" xfId="167" xr:uid="{00000000-0005-0000-0000-0000B6000000}"/>
    <cellStyle name="Note 2 2 2 2" xfId="227" xr:uid="{00000000-0005-0000-0000-0000B7000000}"/>
    <cellStyle name="Note 2 2 3" xfId="211" xr:uid="{00000000-0005-0000-0000-0000B8000000}"/>
    <cellStyle name="Note 2 3" xfId="159" xr:uid="{00000000-0005-0000-0000-0000B9000000}"/>
    <cellStyle name="Note 2 3 2" xfId="221" xr:uid="{00000000-0005-0000-0000-0000BA000000}"/>
    <cellStyle name="Note 2 4" xfId="177" xr:uid="{00000000-0005-0000-0000-0000BB000000}"/>
    <cellStyle name="Note 2 4 2" xfId="237" xr:uid="{00000000-0005-0000-0000-0000BC000000}"/>
    <cellStyle name="Note 2 5" xfId="192" xr:uid="{00000000-0005-0000-0000-0000BD000000}"/>
    <cellStyle name="Note 2 6" xfId="323" xr:uid="{5B5EF0EE-BC9F-4820-83E9-8D860CC33870}"/>
    <cellStyle name="Note 3" xfId="80" xr:uid="{00000000-0005-0000-0000-0000BE000000}"/>
    <cellStyle name="Note 3 2" xfId="153" xr:uid="{00000000-0005-0000-0000-0000BF000000}"/>
    <cellStyle name="Note 3 2 2" xfId="172" xr:uid="{00000000-0005-0000-0000-0000C0000000}"/>
    <cellStyle name="Note 3 2 2 2" xfId="232" xr:uid="{00000000-0005-0000-0000-0000C1000000}"/>
    <cellStyle name="Note 3 2 3" xfId="212" xr:uid="{00000000-0005-0000-0000-0000C2000000}"/>
    <cellStyle name="Note 3 3" xfId="160" xr:uid="{00000000-0005-0000-0000-0000C3000000}"/>
    <cellStyle name="Note 3 3 2" xfId="222" xr:uid="{00000000-0005-0000-0000-0000C4000000}"/>
    <cellStyle name="Note 3 4" xfId="181" xr:uid="{00000000-0005-0000-0000-0000C5000000}"/>
    <cellStyle name="Note 3 4 2" xfId="241" xr:uid="{00000000-0005-0000-0000-0000C6000000}"/>
    <cellStyle name="Note 3 5" xfId="193" xr:uid="{00000000-0005-0000-0000-0000C7000000}"/>
    <cellStyle name="Note 3 6" xfId="324" xr:uid="{2FE55D53-F459-4898-B573-6C81A859883B}"/>
    <cellStyle name="Output" xfId="98" builtinId="21" customBuiltin="1"/>
    <cellStyle name="Output 2" xfId="81" xr:uid="{00000000-0005-0000-0000-0000C9000000}"/>
    <cellStyle name="Output 2 2" xfId="154" xr:uid="{00000000-0005-0000-0000-0000CA000000}"/>
    <cellStyle name="Output 2 2 2" xfId="173" xr:uid="{00000000-0005-0000-0000-0000CB000000}"/>
    <cellStyle name="Output 2 2 2 2" xfId="233" xr:uid="{00000000-0005-0000-0000-0000CC000000}"/>
    <cellStyle name="Output 2 2 3" xfId="213" xr:uid="{00000000-0005-0000-0000-0000CD000000}"/>
    <cellStyle name="Output 2 3" xfId="161" xr:uid="{00000000-0005-0000-0000-0000CE000000}"/>
    <cellStyle name="Output 2 3 2" xfId="223" xr:uid="{00000000-0005-0000-0000-0000CF000000}"/>
    <cellStyle name="Output 2 4" xfId="184" xr:uid="{00000000-0005-0000-0000-0000D0000000}"/>
    <cellStyle name="Output 2 4 2" xfId="244" xr:uid="{00000000-0005-0000-0000-0000D1000000}"/>
    <cellStyle name="Output 2 5" xfId="194" xr:uid="{00000000-0005-0000-0000-0000D2000000}"/>
    <cellStyle name="Output 2 6" xfId="325" xr:uid="{7E370CC1-EEEF-4B9F-8AF2-B400AE600430}"/>
    <cellStyle name="Output 3" xfId="82" xr:uid="{00000000-0005-0000-0000-0000D3000000}"/>
    <cellStyle name="Output 3 2" xfId="155" xr:uid="{00000000-0005-0000-0000-0000D4000000}"/>
    <cellStyle name="Output 3 2 2" xfId="174" xr:uid="{00000000-0005-0000-0000-0000D5000000}"/>
    <cellStyle name="Output 3 2 2 2" xfId="234" xr:uid="{00000000-0005-0000-0000-0000D6000000}"/>
    <cellStyle name="Output 3 2 3" xfId="214" xr:uid="{00000000-0005-0000-0000-0000D7000000}"/>
    <cellStyle name="Output 3 3" xfId="162" xr:uid="{00000000-0005-0000-0000-0000D8000000}"/>
    <cellStyle name="Output 3 3 2" xfId="224" xr:uid="{00000000-0005-0000-0000-0000D9000000}"/>
    <cellStyle name="Output 3 4" xfId="185" xr:uid="{00000000-0005-0000-0000-0000DA000000}"/>
    <cellStyle name="Output 3 4 2" xfId="245" xr:uid="{00000000-0005-0000-0000-0000DB000000}"/>
    <cellStyle name="Output 3 5" xfId="197" xr:uid="{00000000-0005-0000-0000-0000DC000000}"/>
    <cellStyle name="Output 3 6" xfId="326" xr:uid="{CA4421BC-288D-4F2E-A14D-F452E68D3383}"/>
    <cellStyle name="Title" xfId="89" builtinId="15" customBuiltin="1"/>
    <cellStyle name="Title 2" xfId="83" xr:uid="{00000000-0005-0000-0000-0000DE000000}"/>
    <cellStyle name="Title 2 2" xfId="327" xr:uid="{2DE7043B-05C5-4BCE-8335-F9AD7FD3D25B}"/>
    <cellStyle name="Title 3" xfId="84" xr:uid="{00000000-0005-0000-0000-0000DF000000}"/>
    <cellStyle name="Title 3 2" xfId="328" xr:uid="{BB2A714C-3970-442D-B519-B41BC83FCF08}"/>
    <cellStyle name="Total" xfId="105" builtinId="25" customBuiltin="1"/>
    <cellStyle name="Total 2" xfId="85" xr:uid="{00000000-0005-0000-0000-0000E1000000}"/>
    <cellStyle name="Total 2 2" xfId="156" xr:uid="{00000000-0005-0000-0000-0000E2000000}"/>
    <cellStyle name="Total 2 2 2" xfId="175" xr:uid="{00000000-0005-0000-0000-0000E3000000}"/>
    <cellStyle name="Total 2 2 2 2" xfId="235" xr:uid="{00000000-0005-0000-0000-0000E4000000}"/>
    <cellStyle name="Total 2 2 3" xfId="215" xr:uid="{00000000-0005-0000-0000-0000E5000000}"/>
    <cellStyle name="Total 2 3" xfId="163" xr:uid="{00000000-0005-0000-0000-0000E6000000}"/>
    <cellStyle name="Total 2 3 2" xfId="225" xr:uid="{00000000-0005-0000-0000-0000E7000000}"/>
    <cellStyle name="Total 2 4" xfId="182" xr:uid="{00000000-0005-0000-0000-0000E8000000}"/>
    <cellStyle name="Total 2 4 2" xfId="242" xr:uid="{00000000-0005-0000-0000-0000E9000000}"/>
    <cellStyle name="Total 2 5" xfId="195" xr:uid="{00000000-0005-0000-0000-0000EA000000}"/>
    <cellStyle name="Total 2 6" xfId="329" xr:uid="{701327F3-7250-40E0-8B8F-0F45FE4879D9}"/>
    <cellStyle name="Total 3" xfId="86" xr:uid="{00000000-0005-0000-0000-0000EB000000}"/>
    <cellStyle name="Total 3 2" xfId="157" xr:uid="{00000000-0005-0000-0000-0000EC000000}"/>
    <cellStyle name="Total 3 2 2" xfId="176" xr:uid="{00000000-0005-0000-0000-0000ED000000}"/>
    <cellStyle name="Total 3 2 2 2" xfId="236" xr:uid="{00000000-0005-0000-0000-0000EE000000}"/>
    <cellStyle name="Total 3 2 3" xfId="216" xr:uid="{00000000-0005-0000-0000-0000EF000000}"/>
    <cellStyle name="Total 3 3" xfId="164" xr:uid="{00000000-0005-0000-0000-0000F0000000}"/>
    <cellStyle name="Total 3 3 2" xfId="226" xr:uid="{00000000-0005-0000-0000-0000F1000000}"/>
    <cellStyle name="Total 3 4" xfId="183" xr:uid="{00000000-0005-0000-0000-0000F2000000}"/>
    <cellStyle name="Total 3 4 2" xfId="243" xr:uid="{00000000-0005-0000-0000-0000F3000000}"/>
    <cellStyle name="Total 3 5" xfId="196" xr:uid="{00000000-0005-0000-0000-0000F4000000}"/>
    <cellStyle name="Total 3 6" xfId="330" xr:uid="{3D162283-5960-4B6D-9BBB-F3A6351D3813}"/>
    <cellStyle name="Warning Text" xfId="102" builtinId="11" customBuiltin="1"/>
    <cellStyle name="Warning Text 2" xfId="87" xr:uid="{00000000-0005-0000-0000-0000F6000000}"/>
    <cellStyle name="Warning Text 2 2" xfId="331" xr:uid="{6A854F26-F69F-4613-AD36-BB56FDF5CB07}"/>
    <cellStyle name="Warning Text 3" xfId="88" xr:uid="{00000000-0005-0000-0000-0000F7000000}"/>
    <cellStyle name="Warning Text 3 2" xfId="332" xr:uid="{0BC6C7D7-B831-4574-A964-83671ADEEE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 Hudson" refreshedDate="46027.926973842594" createdVersion="5" refreshedVersion="8" minRefreshableVersion="3" recordCount="388" xr:uid="{00000000-000A-0000-FFFF-FFFF08000000}">
  <cacheSource type="worksheet">
    <worksheetSource ref="A1:AC1048576" sheet="Run Sheet"/>
  </cacheSource>
  <cacheFields count="29">
    <cacheField name="Bill Code" numFmtId="0">
      <sharedItems containsBlank="1"/>
    </cacheField>
    <cacheField name="Air Date" numFmtId="0">
      <sharedItems containsNonDate="0" containsDate="1" containsString="0" containsBlank="1" minDate="2026-01-12T00:00:00" maxDate="2026-03-30T00:00:00"/>
    </cacheField>
    <cacheField name="End Date" numFmtId="0">
      <sharedItems containsNonDate="0" containsDate="1" containsString="0" containsBlank="1" minDate="2026-01-12T00:00:00" maxDate="2026-03-30T00:00:00"/>
    </cacheField>
    <cacheField name="Day" numFmtId="0">
      <sharedItems containsBlank="1"/>
    </cacheField>
    <cacheField name="Time In" numFmtId="0">
      <sharedItems containsNonDate="0" containsDate="1" containsString="0" containsBlank="1" minDate="1899-12-30T06:00:00" maxDate="1899-12-30T20:00:00"/>
    </cacheField>
    <cacheField name="Time out" numFmtId="0">
      <sharedItems containsNonDate="0" containsDate="1" containsString="0" containsBlank="1" minDate="1899-12-30T08:00:00" maxDate="1899-12-30T23:59:00"/>
    </cacheField>
    <cacheField name="Length" numFmtId="0">
      <sharedItems containsNonDate="0" containsDate="1" containsString="0" containsBlank="1" minDate="1899-12-30T00:00:30" maxDate="1899-12-30T00:00:30"/>
    </cacheField>
    <cacheField name="Media" numFmtId="0">
      <sharedItems containsBlank="1"/>
    </cacheField>
    <cacheField name="Program" numFmtId="0">
      <sharedItems containsBlank="1"/>
    </cacheField>
    <cacheField name="Lang." numFmtId="0">
      <sharedItems containsBlank="1"/>
    </cacheField>
    <cacheField name="Format" numFmtId="0">
      <sharedItems containsNonDate="0" containsString="0" containsBlank="1"/>
    </cacheField>
    <cacheField name="#" numFmtId="0">
      <sharedItems containsString="0" containsBlank="1" containsNumber="1" containsInteger="1" minValue="1" maxValue="1"/>
    </cacheField>
    <cacheField name="Line" numFmtId="0">
      <sharedItems containsString="0" containsBlank="1" containsNumber="1" containsInteger="1" minValue="69718" maxValue="69733"/>
    </cacheField>
    <cacheField name="Type" numFmtId="0">
      <sharedItems containsBlank="1"/>
    </cacheField>
    <cacheField name="Estimate" numFmtId="0">
      <sharedItems containsBlank="1"/>
    </cacheField>
    <cacheField name="Gross Rate" numFmtId="0">
      <sharedItems containsString="0" containsBlank="1" containsNumber="1" containsInteger="1" minValue="0" maxValue="57"/>
    </cacheField>
    <cacheField name="Make Good" numFmtId="0">
      <sharedItems containsNonDate="0" containsString="0" containsBlank="1"/>
    </cacheField>
    <cacheField name="Spot Value" numFmtId="0">
      <sharedItems containsString="0" containsBlank="1" containsNumber="1" containsInteger="1" minValue="0" maxValue="57"/>
    </cacheField>
    <cacheField name="Month" numFmtId="0">
      <sharedItems containsNonDate="0" containsDate="1" containsString="0" containsBlank="1" minDate="2016-09-01T00:00:00" maxDate="2026-03-02T00:00:00" count="98">
        <d v="2026-01-01T00:00:00"/>
        <d v="2026-03-01T00:00:00"/>
        <m/>
        <d v="2018-05-01T00:00:00" u="1"/>
        <d v="2020-05-01T00:00:00" u="1"/>
        <d v="2021-05-01T00:00:00" u="1"/>
        <d v="2022-05-01T00:00:00" u="1"/>
        <d v="2023-05-01T00:00:00" u="1"/>
        <d v="2025-05-01T00:00:00" u="1"/>
        <d v="2016-11-01T00:00:00" u="1"/>
        <d v="2017-11-01T00:00:00" u="1"/>
        <d v="2018-11-01T00:00:00" u="1"/>
        <d v="2019-11-01T00:00:00" u="1"/>
        <d v="2020-11-01T00:00:00" u="1"/>
        <d v="2021-11-01T00:00:00" u="1"/>
        <d v="2022-11-01T00:00:00" u="1"/>
        <d v="2023-11-01T00:00:00" u="1"/>
        <d v="2025-11-01T00:00:00" u="1"/>
        <d v="2017-06-01T00:00:00" u="1"/>
        <d v="2018-06-01T00:00:00" u="1"/>
        <d v="2020-06-01T00:00:00" u="1"/>
        <d v="2021-06-01T00:00:00" u="1"/>
        <d v="2022-06-01T00:00:00" u="1"/>
        <d v="2023-06-01T00:00:00" u="1"/>
        <d v="2025-06-01T00:00:00" u="1"/>
        <d v="2016-12-01T00:00:00" u="1"/>
        <d v="2017-12-01T00:00:00" u="1"/>
        <d v="2018-12-01T00:00:00" u="1"/>
        <d v="2019-12-01T00:00:00" u="1"/>
        <d v="2020-12-01T00:00:00" u="1"/>
        <d v="2021-12-01T00:00:00" u="1"/>
        <d v="2022-12-01T00:00:00" u="1"/>
        <d v="2023-12-01T00:00:00" u="1"/>
        <d v="2025-12-01T00:00:00" u="1"/>
        <d v="2017-01-01T00:00:00" u="1"/>
        <d v="2019-01-01T00:00:00" u="1"/>
        <d v="2020-01-01T00:00:00" u="1"/>
        <d v="2021-01-01T00:00:00" u="1"/>
        <d v="2022-01-01T00:00:00" u="1"/>
        <d v="2023-01-01T00:00:00" u="1"/>
        <d v="2024-01-01T00:00:00" u="1"/>
        <d v="2025-01-01T00:00:00" u="1"/>
        <d v="2017-07-01T00:00:00" u="1"/>
        <d v="2018-07-01T00:00:00" u="1"/>
        <d v="2019-07-01T00:00:00" u="1"/>
        <d v="2020-07-01T00:00:00" u="1"/>
        <d v="2021-07-01T00:00:00" u="1"/>
        <d v="2022-07-01T00:00:00" u="1"/>
        <d v="2023-07-01T00:00:00" u="1"/>
        <d v="2025-07-01T00:00:00" u="1"/>
        <d v="2017-02-01T00:00:00" u="1"/>
        <d v="2018-02-01T00:00:00" u="1"/>
        <d v="2019-02-01T00:00:00" u="1"/>
        <d v="2020-02-01T00:00:00" u="1"/>
        <d v="2021-02-01T00:00:00" u="1"/>
        <d v="2022-02-01T00:00:00" u="1"/>
        <d v="2023-02-01T00:00:00" u="1"/>
        <d v="2024-02-01T00:00:00" u="1"/>
        <d v="2025-02-01T00:00:00" u="1"/>
        <d v="2017-08-01T00:00:00" u="1"/>
        <d v="2019-08-01T00:00:00" u="1"/>
        <d v="2021-08-01T00:00:00" u="1"/>
        <d v="2022-08-01T00:00:00" u="1"/>
        <d v="2023-08-01T00:00:00" u="1"/>
        <d v="2025-08-01T00:00:00" u="1"/>
        <d v="2017-03-01T00:00:00" u="1"/>
        <d v="2018-03-01T00:00:00" u="1"/>
        <d v="2019-03-01T00:00:00" u="1"/>
        <d v="2020-03-01T00:00:00" u="1"/>
        <d v="2021-03-01T00:00:00" u="1"/>
        <d v="2022-03-01T00:00:00" u="1"/>
        <d v="2023-03-01T00:00:00" u="1"/>
        <d v="2024-03-01T00:00:00" u="1"/>
        <d v="2025-03-01T00:00:00" u="1"/>
        <d v="2016-09-01T00:00:00" u="1"/>
        <d v="2017-09-01T00:00:00" u="1"/>
        <d v="2018-09-01T00:00:00" u="1"/>
        <d v="2019-09-01T00:00:00" u="1"/>
        <d v="2021-09-01T00:00:00" u="1"/>
        <d v="2022-09-01T00:00:00" u="1"/>
        <d v="2023-09-01T00:00:00" u="1"/>
        <d v="2025-09-01T00:00:00" u="1"/>
        <d v="2017-04-01T00:00:00" u="1"/>
        <d v="2018-04-01T00:00:00" u="1"/>
        <d v="2019-04-01T00:00:00" u="1"/>
        <d v="2020-04-01T00:00:00" u="1"/>
        <d v="2021-04-01T00:00:00" u="1"/>
        <d v="2022-04-01T00:00:00" u="1"/>
        <d v="2023-04-01T00:00:00" u="1"/>
        <d v="2025-04-01T00:00:00" u="1"/>
        <d v="2016-10-01T00:00:00" u="1"/>
        <d v="2017-10-01T00:00:00" u="1"/>
        <d v="2018-10-01T00:00:00" u="1"/>
        <d v="2020-10-01T00:00:00" u="1"/>
        <d v="2021-10-01T00:00:00" u="1"/>
        <d v="2022-10-01T00:00:00" u="1"/>
        <d v="2023-10-01T00:00:00" u="1"/>
        <d v="2025-10-01T00:00:00" u="1"/>
      </sharedItems>
    </cacheField>
    <cacheField name="Broker Fees" numFmtId="0">
      <sharedItems containsString="0" containsBlank="1" containsNumber="1" minValue="0" maxValue="8.5499999999999989"/>
    </cacheField>
    <cacheField name="priority" numFmtId="0">
      <sharedItems containsString="0" containsBlank="1" containsNumber="1" containsInteger="1" minValue="4" maxValue="4"/>
    </cacheField>
    <cacheField name="Station Net" numFmtId="0">
      <sharedItems containsString="0" containsBlank="1" containsNumber="1" minValue="0" maxValue="48.45"/>
    </cacheField>
    <cacheField name="Sales Person" numFmtId="0">
      <sharedItems containsBlank="1"/>
    </cacheField>
    <cacheField name="Revenue Type" numFmtId="0">
      <sharedItems containsBlank="1"/>
    </cacheField>
    <cacheField name="Billing Type" numFmtId="0">
      <sharedItems containsBlank="1"/>
    </cacheField>
    <cacheField name="Agency?" numFmtId="0">
      <sharedItems containsBlank="1"/>
    </cacheField>
    <cacheField name="Affidavit?" numFmtId="0">
      <sharedItems containsBlank="1"/>
    </cacheField>
    <cacheField name="Contract" numFmtId="0">
      <sharedItems containsBlank="1"/>
    </cacheField>
    <cacheField name="Mark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s v="Rodi Platcow Malin:Muckleshoot Casino"/>
    <d v="2026-01-12T00:00:00"/>
    <d v="2026-01-12T00:00:00"/>
    <s v="Monday"/>
    <d v="1899-12-30T06:00:00"/>
    <d v="1899-12-30T08:00:00"/>
    <d v="1899-12-30T00:00:30"/>
    <s v="NEED COPY"/>
    <s v="06:20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06:00:00"/>
    <d v="1899-12-30T08:00:00"/>
    <d v="1899-12-30T00:00:30"/>
    <s v="NEED COPY"/>
    <s v="06:20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9T00:00:00"/>
    <d v="2026-01-19T00:00:00"/>
    <s v="Monday"/>
    <d v="1899-12-30T06:00:00"/>
    <d v="1899-12-30T08:00:00"/>
    <d v="1899-12-30T00:00:30"/>
    <s v="NEED COPY"/>
    <s v="06:20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06:00:00"/>
    <d v="1899-12-30T08:00:00"/>
    <d v="1899-12-30T00:00:30"/>
    <s v="NEED COPY"/>
    <s v="06:48:3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06:00:00"/>
    <d v="1899-12-30T08:00:00"/>
    <d v="1899-12-30T00:00:30"/>
    <s v="NEED COPY"/>
    <s v="06:48:3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23T00:00:00"/>
    <d v="2026-01-23T00:00:00"/>
    <s v="Friday"/>
    <d v="1899-12-30T06:00:00"/>
    <d v="1899-12-30T08:00:00"/>
    <d v="1899-12-30T00:00:30"/>
    <s v="NEED COPY"/>
    <s v="06:48:3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9T00:00:00"/>
    <d v="2026-01-19T00:00:00"/>
    <s v="Monday"/>
    <d v="1899-12-30T06:00:00"/>
    <d v="1899-12-30T08:00:00"/>
    <d v="1899-12-30T00:00:30"/>
    <s v="NEED COPY"/>
    <s v="06:59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06:00:00"/>
    <d v="1899-12-30T08:00:00"/>
    <d v="1899-12-30T00:00:30"/>
    <s v="NEED COPY"/>
    <s v="07:1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23T00:00:00"/>
    <d v="2026-01-23T00:00:00"/>
    <s v="Friday"/>
    <d v="1899-12-30T06:00:00"/>
    <d v="1899-12-30T08:00:00"/>
    <d v="1899-12-30T00:00:30"/>
    <s v="NEED COPY"/>
    <s v="07:1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06:00:00"/>
    <d v="1899-12-30T08:00:00"/>
    <d v="1899-12-30T00:00:30"/>
    <s v="NEED COPY"/>
    <s v="07:2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9T00:00:00"/>
    <d v="2026-01-19T00:00:00"/>
    <s v="Monday"/>
    <d v="1899-12-30T06:00:00"/>
    <d v="1899-12-30T08:00:00"/>
    <d v="1899-12-30T00:00:30"/>
    <s v="NEED COPY"/>
    <s v="07:2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23T00:00:00"/>
    <d v="2026-01-23T00:00:00"/>
    <s v="Friday"/>
    <d v="1899-12-30T06:00:00"/>
    <d v="1899-12-30T08:00:00"/>
    <d v="1899-12-30T00:00:30"/>
    <s v="NEED COPY"/>
    <s v="07:4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06:00:00"/>
    <d v="1899-12-30T08:00:00"/>
    <d v="1899-12-30T00:00:30"/>
    <s v="NEED COPY"/>
    <s v="07:5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06:00:00"/>
    <d v="1899-12-30T08:00:00"/>
    <d v="1899-12-30T00:00:30"/>
    <s v="NEED COPY"/>
    <s v="07:5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19T00:00:00"/>
    <d v="2026-01-19T00:00:00"/>
    <s v="Monday"/>
    <d v="1899-12-30T06:00:00"/>
    <d v="1899-12-30T08:00:00"/>
    <d v="1899-12-30T00:00:30"/>
    <s v="NEED COPY"/>
    <s v="07:58:00"/>
    <s v="M"/>
    <m/>
    <n v="1"/>
    <n v="69718"/>
    <s v="COM"/>
    <s v="10868"/>
    <n v="36"/>
    <m/>
    <n v="36"/>
    <x v="0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9:00:00"/>
    <d v="1899-12-30T23:59:00"/>
    <d v="1899-12-30T00:00:30"/>
    <s v="NEED COPY"/>
    <s v="19:42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19:44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20:20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9:00:00"/>
    <d v="1899-12-30T23:59:00"/>
    <d v="1899-12-30T00:00:30"/>
    <s v="NEED COPY"/>
    <s v="20:20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20:48:3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9:00:00"/>
    <d v="1899-12-30T23:59:00"/>
    <d v="1899-12-30T00:00:30"/>
    <s v="NEED COPY"/>
    <s v="20:48:3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21:18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9:00:00"/>
    <d v="1899-12-30T23:59:00"/>
    <d v="1899-12-30T00:00:30"/>
    <s v="NEED COPY"/>
    <s v="21:18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21:48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9:00:00"/>
    <d v="1899-12-30T23:59:00"/>
    <d v="1899-12-30T00:00:30"/>
    <s v="NEED COPY"/>
    <s v="21:48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9:00:00"/>
    <d v="1899-12-30T23:59:00"/>
    <d v="1899-12-30T00:00:30"/>
    <s v="NEED COPY"/>
    <s v="22:40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22:43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23:28:0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9:00:00"/>
    <d v="1899-12-30T23:59:00"/>
    <d v="1899-12-30T00:00:30"/>
    <s v="NEED COPY"/>
    <s v="23:58:3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9:00:00"/>
    <d v="1899-12-30T23:59:00"/>
    <d v="1899-12-30T00:00:30"/>
    <s v="NEED COPY"/>
    <s v="23:58:30"/>
    <s v="M"/>
    <m/>
    <n v="1"/>
    <n v="69719"/>
    <s v="COM"/>
    <s v="10868"/>
    <n v="57"/>
    <m/>
    <n v="57"/>
    <x v="0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06:00:00"/>
    <d v="1899-12-30T12:00:00"/>
    <d v="1899-12-30T00:00:30"/>
    <s v="NEED COPY"/>
    <s v="06:20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06:00:00"/>
    <d v="1899-12-30T12:00:00"/>
    <d v="1899-12-30T00:00:30"/>
    <s v="NEED COPY"/>
    <s v="06:20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06:00:00"/>
    <d v="1899-12-30T12:00:00"/>
    <d v="1899-12-30T00:00:30"/>
    <s v="NEED COPY"/>
    <s v="06:48:3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06:00:00"/>
    <d v="1899-12-30T12:00:00"/>
    <d v="1899-12-30T00:00:30"/>
    <s v="NEED COPY"/>
    <s v="06:48:3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06:00:00"/>
    <d v="1899-12-30T12:00:00"/>
    <d v="1899-12-30T00:00:30"/>
    <s v="NEED COPY"/>
    <s v="07:0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06:00:00"/>
    <d v="1899-12-30T12:00:00"/>
    <d v="1899-12-30T00:00:30"/>
    <s v="NEED COPY"/>
    <s v="07:0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06:00:00"/>
    <d v="1899-12-30T12:00:00"/>
    <d v="1899-12-30T00:00:30"/>
    <s v="NEED COPY"/>
    <s v="07:1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12:00:00"/>
    <d v="1899-12-30T00:00:30"/>
    <s v="NEED COPY"/>
    <s v="07:1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06:00:00"/>
    <d v="1899-12-30T12:00:00"/>
    <d v="1899-12-30T00:00:30"/>
    <s v="NEED COPY"/>
    <s v="07:3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06:00:00"/>
    <d v="1899-12-30T12:00:00"/>
    <d v="1899-12-30T00:00:30"/>
    <s v="NEED COPY"/>
    <s v="07:3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06:00:00"/>
    <d v="1899-12-30T12:00:00"/>
    <d v="1899-12-30T00:00:30"/>
    <s v="NEED COPY"/>
    <s v="07:3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12:00:00"/>
    <d v="1899-12-30T00:00:30"/>
    <s v="NEED COPY"/>
    <s v="07:3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06:00:00"/>
    <d v="1899-12-30T12:00:00"/>
    <d v="1899-12-30T00:00:30"/>
    <s v="NEED COPY"/>
    <s v="07:5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06:00:00"/>
    <d v="1899-12-30T12:00:00"/>
    <d v="1899-12-30T00:00:30"/>
    <s v="NEED COPY"/>
    <s v="07:5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12:00:00"/>
    <d v="1899-12-30T00:00:30"/>
    <s v="NEED COPY"/>
    <s v="07:58:00"/>
    <s v="M"/>
    <m/>
    <n v="1"/>
    <n v="69720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2T00:00:00"/>
    <d v="2026-01-22T00:00:00"/>
    <s v="Thursday"/>
    <d v="1899-12-30T11:00:00"/>
    <d v="1899-12-30T13:00:00"/>
    <d v="1899-12-30T00:00:30"/>
    <s v="NEED COPY"/>
    <s v="11:08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1:00:00"/>
    <d v="1899-12-30T13:00:00"/>
    <d v="1899-12-30T00:00:30"/>
    <s v="NEED COPY"/>
    <s v="11:28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5T00:00:00"/>
    <d v="2026-01-15T00:00:00"/>
    <s v="Thursday"/>
    <d v="1899-12-30T11:00:00"/>
    <d v="1899-12-30T13:00:00"/>
    <d v="1899-12-30T00:00:30"/>
    <s v="NEED COPY"/>
    <s v="11:56:3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3T00:00:00"/>
    <d v="2026-01-23T00:00:00"/>
    <s v="Friday"/>
    <d v="1899-12-30T11:00:00"/>
    <d v="1899-12-30T13:00:00"/>
    <d v="1899-12-30T00:00:30"/>
    <s v="NEED COPY"/>
    <s v="11:57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11:00:00"/>
    <d v="1899-12-30T13:00:00"/>
    <d v="1899-12-30T00:00:30"/>
    <s v="NEED COPY"/>
    <s v="12:18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9T00:00:00"/>
    <d v="2026-01-19T00:00:00"/>
    <s v="Monday"/>
    <d v="1899-12-30T11:00:00"/>
    <d v="1899-12-30T13:00:00"/>
    <d v="1899-12-30T00:00:30"/>
    <s v="NEED COPY"/>
    <s v="12:18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4T00:00:00"/>
    <d v="2026-01-14T00:00:00"/>
    <s v="Wednesday"/>
    <d v="1899-12-30T11:00:00"/>
    <d v="1899-12-30T13:00:00"/>
    <d v="1899-12-30T00:00:30"/>
    <s v="NEED COPY"/>
    <s v="12:29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6T00:00:00"/>
    <d v="2026-01-16T00:00:00"/>
    <s v="Friday"/>
    <d v="1899-12-30T11:00:00"/>
    <d v="1899-12-30T13:00:00"/>
    <d v="1899-12-30T00:00:30"/>
    <s v="NEED COPY"/>
    <s v="12:29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11:00:00"/>
    <d v="1899-12-30T13:00:00"/>
    <d v="1899-12-30T00:00:30"/>
    <s v="NEED COPY"/>
    <s v="12:38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11:00:00"/>
    <d v="1899-12-30T13:00:00"/>
    <d v="1899-12-30T00:00:30"/>
    <s v="NEED COPY"/>
    <s v="12:38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11:00:00"/>
    <d v="1899-12-30T13:00:00"/>
    <d v="1899-12-30T00:00:30"/>
    <s v="NEED COPY"/>
    <s v="12:48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1T00:00:00"/>
    <d v="2026-01-21T00:00:00"/>
    <s v="Wednesday"/>
    <d v="1899-12-30T11:00:00"/>
    <d v="1899-12-30T13:00:00"/>
    <d v="1899-12-30T00:00:30"/>
    <s v="NEED COPY"/>
    <s v="12:59:00"/>
    <s v="V"/>
    <m/>
    <n v="1"/>
    <n v="69721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11:00:00"/>
    <d v="1899-12-30T13:00:00"/>
    <d v="1899-12-30T00:00:30"/>
    <s v="NEED COPY"/>
    <s v="11:0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0T00:00:00"/>
    <d v="2026-01-20T00:00:00"/>
    <s v="Tuesday"/>
    <d v="1899-12-30T11:00:00"/>
    <d v="1899-12-30T13:00:00"/>
    <d v="1899-12-30T00:00:30"/>
    <s v="NEED COPY"/>
    <s v="11:0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1:00:00"/>
    <d v="1899-12-30T13:00:00"/>
    <d v="1899-12-30T00:00:30"/>
    <s v="NEED COPY"/>
    <s v="11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5T00:00:00"/>
    <d v="2026-01-15T00:00:00"/>
    <s v="Thursday"/>
    <d v="1899-12-30T11:00:00"/>
    <d v="1899-12-30T13:00:00"/>
    <d v="1899-12-30T00:00:30"/>
    <s v="NEED COPY"/>
    <s v="11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1T00:00:00"/>
    <d v="2026-01-21T00:00:00"/>
    <s v="Wednesday"/>
    <d v="1899-12-30T11:00:00"/>
    <d v="1899-12-30T13:00:00"/>
    <d v="1899-12-30T00:00:30"/>
    <s v="NEED COPY"/>
    <s v="11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3T00:00:00"/>
    <d v="2026-01-23T00:00:00"/>
    <s v="Friday"/>
    <d v="1899-12-30T11:00:00"/>
    <d v="1899-12-30T13:00:00"/>
    <d v="1899-12-30T00:00:30"/>
    <s v="NEED COPY"/>
    <s v="11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11:00:00"/>
    <d v="1899-12-30T13:00:00"/>
    <d v="1899-12-30T00:00:30"/>
    <s v="NEED COPY"/>
    <s v="11:41:3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0T00:00:00"/>
    <d v="2026-01-20T00:00:00"/>
    <s v="Tuesday"/>
    <d v="1899-12-30T11:00:00"/>
    <d v="1899-12-30T13:00:00"/>
    <d v="1899-12-30T00:00:30"/>
    <s v="NEED COPY"/>
    <s v="11:41:3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1:00:00"/>
    <d v="1899-12-30T13:00:00"/>
    <d v="1899-12-30T00:00:30"/>
    <s v="NEED COPY"/>
    <s v="11:49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1T00:00:00"/>
    <d v="2026-01-21T00:00:00"/>
    <s v="Wednesday"/>
    <d v="1899-12-30T11:00:00"/>
    <d v="1899-12-30T13:00:00"/>
    <d v="1899-12-30T00:00:30"/>
    <s v="NEED COPY"/>
    <s v="11:49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1:00:00"/>
    <d v="1899-12-30T13:00:00"/>
    <d v="1899-12-30T00:00:30"/>
    <s v="NEED COPY"/>
    <s v="12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11:00:00"/>
    <d v="1899-12-30T13:00:00"/>
    <d v="1899-12-30T00:00:30"/>
    <s v="NEED COPY"/>
    <s v="12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5T00:00:00"/>
    <d v="2026-01-15T00:00:00"/>
    <s v="Thursday"/>
    <d v="1899-12-30T11:00:00"/>
    <d v="1899-12-30T13:00:00"/>
    <d v="1899-12-30T00:00:30"/>
    <s v="NEED COPY"/>
    <s v="12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0T00:00:00"/>
    <d v="2026-01-20T00:00:00"/>
    <s v="Tuesday"/>
    <d v="1899-12-30T11:00:00"/>
    <d v="1899-12-30T13:00:00"/>
    <d v="1899-12-30T00:00:30"/>
    <s v="NEED COPY"/>
    <s v="12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1T00:00:00"/>
    <d v="2026-01-21T00:00:00"/>
    <s v="Wednesday"/>
    <d v="1899-12-30T11:00:00"/>
    <d v="1899-12-30T13:00:00"/>
    <d v="1899-12-30T00:00:30"/>
    <s v="NEED COPY"/>
    <s v="12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3T00:00:00"/>
    <d v="2026-01-23T00:00:00"/>
    <s v="Friday"/>
    <d v="1899-12-30T11:00:00"/>
    <d v="1899-12-30T13:00:00"/>
    <d v="1899-12-30T00:00:30"/>
    <s v="NEED COPY"/>
    <s v="12:1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2T00:00:00"/>
    <d v="2026-01-12T00:00:00"/>
    <s v="Monday"/>
    <d v="1899-12-30T11:00:00"/>
    <d v="1899-12-30T13:00:00"/>
    <d v="1899-12-30T00:00:30"/>
    <s v="NEED COPY"/>
    <s v="12:4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3T00:00:00"/>
    <d v="2026-01-13T00:00:00"/>
    <s v="Tuesday"/>
    <d v="1899-12-30T11:00:00"/>
    <d v="1899-12-30T13:00:00"/>
    <d v="1899-12-30T00:00:30"/>
    <s v="NEED COPY"/>
    <s v="12:4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0T00:00:00"/>
    <d v="2026-01-20T00:00:00"/>
    <s v="Tuesday"/>
    <d v="1899-12-30T11:00:00"/>
    <d v="1899-12-30T13:00:00"/>
    <d v="1899-12-30T00:00:30"/>
    <s v="NEED COPY"/>
    <s v="12:4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1T00:00:00"/>
    <d v="2026-01-21T00:00:00"/>
    <s v="Wednesday"/>
    <d v="1899-12-30T11:00:00"/>
    <d v="1899-12-30T13:00:00"/>
    <d v="1899-12-30T00:00:30"/>
    <s v="NEED COPY"/>
    <s v="12:4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3T00:00:00"/>
    <d v="2026-01-23T00:00:00"/>
    <s v="Friday"/>
    <d v="1899-12-30T11:00:00"/>
    <d v="1899-12-30T13:00:00"/>
    <d v="1899-12-30T00:00:30"/>
    <s v="NEED COPY"/>
    <s v="12:48:00"/>
    <s v="V"/>
    <m/>
    <n v="1"/>
    <n v="69722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11:00:00"/>
    <d v="1899-12-30T13:00:00"/>
    <d v="1899-12-30T00:00:30"/>
    <s v="NEED COPY"/>
    <s v="11:0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11:00:00"/>
    <d v="1899-12-30T13:00:00"/>
    <d v="1899-12-30T00:00:30"/>
    <s v="NEED COPY"/>
    <s v="11:0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11:00:00"/>
    <d v="1899-12-30T13:00:00"/>
    <d v="1899-12-30T00:00:30"/>
    <s v="NEED COPY"/>
    <s v="11:0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11:00:00"/>
    <d v="1899-12-30T13:00:00"/>
    <d v="1899-12-30T00:00:30"/>
    <s v="NEED COPY"/>
    <s v="11:0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11:00:00"/>
    <d v="1899-12-30T13:00:00"/>
    <d v="1899-12-30T00:00:30"/>
    <s v="NEED COPY"/>
    <s v="11:2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11:00:00"/>
    <d v="1899-12-30T13:00:00"/>
    <d v="1899-12-30T00:00:30"/>
    <s v="NEED COPY"/>
    <s v="11:35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11:00:00"/>
    <d v="1899-12-30T13:00:00"/>
    <d v="1899-12-30T00:00:30"/>
    <s v="NEED COPY"/>
    <s v="11:35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11:00:00"/>
    <d v="1899-12-30T13:00:00"/>
    <d v="1899-12-30T00:00:30"/>
    <s v="NEED COPY"/>
    <s v="11:35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11:00:00"/>
    <d v="1899-12-30T13:00:00"/>
    <d v="1899-12-30T00:00:30"/>
    <s v="NEED COPY"/>
    <s v="11:50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11:00:00"/>
    <d v="1899-12-30T13:00:00"/>
    <d v="1899-12-30T00:00:30"/>
    <s v="NEED COPY"/>
    <s v="11:57:3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11:00:00"/>
    <d v="1899-12-30T13:00:00"/>
    <d v="1899-12-30T00:00:30"/>
    <s v="NEED COPY"/>
    <s v="11:57:3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11:00:00"/>
    <d v="1899-12-30T13:00:00"/>
    <d v="1899-12-30T00:00:30"/>
    <s v="NEED COPY"/>
    <s v="11:59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11:00:00"/>
    <d v="1899-12-30T13:00:00"/>
    <d v="1899-12-30T00:00:30"/>
    <s v="NEED COPY"/>
    <s v="12:1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11:00:00"/>
    <d v="1899-12-30T13:00:00"/>
    <d v="1899-12-30T00:00:30"/>
    <s v="NEED COPY"/>
    <s v="12:2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11:00:00"/>
    <d v="1899-12-30T13:00:00"/>
    <d v="1899-12-30T00:00:30"/>
    <s v="NEED COPY"/>
    <s v="12:2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11:00:00"/>
    <d v="1899-12-30T13:00:00"/>
    <d v="1899-12-30T00:00:30"/>
    <s v="NEED COPY"/>
    <s v="12:2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11:00:00"/>
    <d v="1899-12-30T13:00:00"/>
    <d v="1899-12-30T00:00:30"/>
    <s v="NEED COPY"/>
    <s v="12:3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11:00:00"/>
    <d v="1899-12-30T13:00:00"/>
    <d v="1899-12-30T00:00:30"/>
    <s v="NEED COPY"/>
    <s v="12:48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11:00:00"/>
    <d v="1899-12-30T13:00:00"/>
    <d v="1899-12-30T00:00:30"/>
    <s v="NEED COPY"/>
    <s v="12:59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11:00:00"/>
    <d v="1899-12-30T13:00:00"/>
    <d v="1899-12-30T00:00:30"/>
    <s v="NEED COPY"/>
    <s v="12:59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4T00:00:00"/>
    <d v="2026-01-24T00:00:00"/>
    <s v="Saturday"/>
    <d v="1899-12-30T11:00:00"/>
    <d v="1899-12-30T13:00:00"/>
    <d v="1899-12-30T00:00:30"/>
    <s v="NEED COPY"/>
    <s v="12:59:00"/>
    <s v="V"/>
    <m/>
    <n v="1"/>
    <n v="69723"/>
    <s v="COM"/>
    <s v="10868"/>
    <n v="37"/>
    <m/>
    <n v="37"/>
    <x v="0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08:3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09:06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0:07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0:3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3:1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3:40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3:59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4:23:3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4:4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5:10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5:25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5:41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6:1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6:3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6:5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7:3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7:58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8:16:3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8:51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9:07:3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9:26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9:43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19:59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20:20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20:48:3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22:12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22:55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23:10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23:25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06:00:00"/>
    <d v="1899-12-30T23:59:00"/>
    <d v="1899-12-30T00:00:30"/>
    <s v="NEED COPY"/>
    <s v="23:55:00"/>
    <s v="M"/>
    <m/>
    <n v="1"/>
    <n v="69724"/>
    <s v="BNS"/>
    <s v="10868"/>
    <n v="0"/>
    <m/>
    <n v="0"/>
    <x v="0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20:00:00"/>
    <d v="1899-12-30T23:59:00"/>
    <d v="1899-12-30T00:00:30"/>
    <s v="NEED COPY"/>
    <s v="20:31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20:00:00"/>
    <d v="1899-12-30T23:59:00"/>
    <d v="1899-12-30T00:00:30"/>
    <s v="NEED COPY"/>
    <s v="20:31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20:00:00"/>
    <d v="1899-12-30T23:59:00"/>
    <d v="1899-12-30T00:00:30"/>
    <s v="NEED COPY"/>
    <s v="20:59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20:00:00"/>
    <d v="1899-12-30T23:59:00"/>
    <d v="1899-12-30T00:00:30"/>
    <s v="NEED COPY"/>
    <s v="20:59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20:00:00"/>
    <d v="1899-12-30T23:59:00"/>
    <d v="1899-12-30T00:00:30"/>
    <s v="NEED COPY"/>
    <s v="21:12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20:00:00"/>
    <d v="1899-12-30T23:59:00"/>
    <d v="1899-12-30T00:00:30"/>
    <s v="NEED COPY"/>
    <s v="21:42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20:00:00"/>
    <d v="1899-12-30T23:59:00"/>
    <d v="1899-12-30T00:00:30"/>
    <s v="NEED COPY"/>
    <s v="21:42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20:00:00"/>
    <d v="1899-12-30T23:59:00"/>
    <d v="1899-12-30T00:00:30"/>
    <s v="NEED COPY"/>
    <s v="21:43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20:00:00"/>
    <d v="1899-12-30T23:59:00"/>
    <d v="1899-12-30T00:00:30"/>
    <s v="NEED COPY"/>
    <s v="22:12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20:00:00"/>
    <d v="1899-12-30T23:59:00"/>
    <d v="1899-12-30T00:00:30"/>
    <s v="NEED COPY"/>
    <s v="22:28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20:00:00"/>
    <d v="1899-12-30T23:59:00"/>
    <d v="1899-12-30T00:00:30"/>
    <s v="NEED COPY"/>
    <s v="22:40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20:00:00"/>
    <d v="1899-12-30T23:59:00"/>
    <d v="1899-12-30T00:00:30"/>
    <s v="NEED COPY"/>
    <s v="22:40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20:00:00"/>
    <d v="1899-12-30T23:59:00"/>
    <d v="1899-12-30T00:00:30"/>
    <s v="NEED COPY"/>
    <s v="22:56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20:00:00"/>
    <d v="1899-12-30T23:59:00"/>
    <d v="1899-12-30T00:00:30"/>
    <s v="NEED COPY"/>
    <s v="23:10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20:00:00"/>
    <d v="1899-12-30T23:59:00"/>
    <d v="1899-12-30T00:00:30"/>
    <s v="NEED COPY"/>
    <s v="23:27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8T00:00:00"/>
    <d v="2026-01-18T00:00:00"/>
    <s v="Sunday"/>
    <d v="1899-12-30T20:00:00"/>
    <d v="1899-12-30T23:59:00"/>
    <d v="1899-12-30T00:00:30"/>
    <s v="NEED COPY"/>
    <s v="23:40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25T00:00:00"/>
    <d v="2026-01-25T00:00:00"/>
    <s v="Sunday"/>
    <d v="1899-12-30T20:00:00"/>
    <d v="1899-12-30T23:59:00"/>
    <d v="1899-12-30T00:00:30"/>
    <s v="NEED COPY"/>
    <s v="23:40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1-17T00:00:00"/>
    <d v="2026-01-17T00:00:00"/>
    <s v="Saturday"/>
    <d v="1899-12-30T20:00:00"/>
    <d v="1899-12-30T23:59:00"/>
    <d v="1899-12-30T00:00:30"/>
    <s v="NEED COPY"/>
    <s v="23:57:00"/>
    <s v="M"/>
    <m/>
    <n v="1"/>
    <n v="69725"/>
    <s v="COM"/>
    <s v="10868"/>
    <n v="46"/>
    <m/>
    <n v="46"/>
    <x v="0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0T00:00:00"/>
    <d v="2026-03-20T00:00:00"/>
    <s v="Friday"/>
    <d v="1899-12-30T06:00:00"/>
    <d v="1899-12-30T08:00:00"/>
    <d v="1899-12-30T00:00:30"/>
    <s v="NEED COPY"/>
    <s v="06:20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7T00:00:00"/>
    <d v="2026-03-17T00:00:00"/>
    <s v="Tuesday"/>
    <d v="1899-12-30T06:00:00"/>
    <d v="1899-12-30T08:00:00"/>
    <d v="1899-12-30T00:00:30"/>
    <s v="NEED COPY"/>
    <s v="06:31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1T00:00:00"/>
    <d v="2026-03-11T00:00:00"/>
    <s v="Wednesday"/>
    <d v="1899-12-30T06:00:00"/>
    <d v="1899-12-30T08:00:00"/>
    <d v="1899-12-30T00:00:30"/>
    <s v="NEED COPY"/>
    <s v="06:48:3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09T00:00:00"/>
    <d v="2026-03-09T00:00:00"/>
    <s v="Monday"/>
    <d v="1899-12-30T06:00:00"/>
    <d v="1899-12-30T08:00:00"/>
    <d v="1899-12-30T00:00:30"/>
    <s v="NEED COPY"/>
    <s v="06:59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25T00:00:00"/>
    <d v="2026-03-25T00:00:00"/>
    <s v="Wednesday"/>
    <d v="1899-12-30T06:00:00"/>
    <d v="1899-12-30T08:00:00"/>
    <d v="1899-12-30T00:00:30"/>
    <s v="NEED COPY"/>
    <s v="06:59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2T00:00:00"/>
    <d v="2026-03-12T00:00:00"/>
    <s v="Thursday"/>
    <d v="1899-12-30T06:00:00"/>
    <d v="1899-12-30T08:00:00"/>
    <d v="1899-12-30T00:00:30"/>
    <s v="NEED COPY"/>
    <s v="07:2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9T00:00:00"/>
    <d v="2026-03-19T00:00:00"/>
    <s v="Thursday"/>
    <d v="1899-12-30T06:00:00"/>
    <d v="1899-12-30T08:00:00"/>
    <d v="1899-12-30T00:00:30"/>
    <s v="NEED COPY"/>
    <s v="07:2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6T00:00:00"/>
    <d v="2026-03-16T00:00:00"/>
    <s v="Monday"/>
    <d v="1899-12-30T06:00:00"/>
    <d v="1899-12-30T08:00:00"/>
    <d v="1899-12-30T00:00:30"/>
    <s v="NEED COPY"/>
    <s v="07:3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24T00:00:00"/>
    <d v="2026-03-24T00:00:00"/>
    <s v="Tuesday"/>
    <d v="1899-12-30T06:00:00"/>
    <d v="1899-12-30T08:00:00"/>
    <d v="1899-12-30T00:00:30"/>
    <s v="NEED COPY"/>
    <s v="07:3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8T00:00:00"/>
    <d v="2026-03-18T00:00:00"/>
    <s v="Wednesday"/>
    <d v="1899-12-30T06:00:00"/>
    <d v="1899-12-30T08:00:00"/>
    <d v="1899-12-30T00:00:30"/>
    <s v="NEED COPY"/>
    <s v="07:4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23T00:00:00"/>
    <d v="2026-03-23T00:00:00"/>
    <s v="Monday"/>
    <d v="1899-12-30T06:00:00"/>
    <d v="1899-12-30T08:00:00"/>
    <d v="1899-12-30T00:00:30"/>
    <s v="NEED COPY"/>
    <s v="07:4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27T00:00:00"/>
    <d v="2026-03-27T00:00:00"/>
    <s v="Friday"/>
    <d v="1899-12-30T06:00:00"/>
    <d v="1899-12-30T08:00:00"/>
    <d v="1899-12-30T00:00:30"/>
    <s v="NEED COPY"/>
    <s v="07:4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0T00:00:00"/>
    <d v="2026-03-10T00:00:00"/>
    <s v="Tuesday"/>
    <d v="1899-12-30T06:00:00"/>
    <d v="1899-12-30T08:00:00"/>
    <d v="1899-12-30T00:00:30"/>
    <s v="NEED COPY"/>
    <s v="07:5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13T00:00:00"/>
    <d v="2026-03-13T00:00:00"/>
    <s v="Friday"/>
    <d v="1899-12-30T06:00:00"/>
    <d v="1899-12-30T08:00:00"/>
    <d v="1899-12-30T00:00:30"/>
    <s v="NEED COPY"/>
    <s v="07:5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26T00:00:00"/>
    <d v="2026-03-26T00:00:00"/>
    <s v="Thursday"/>
    <d v="1899-12-30T06:00:00"/>
    <d v="1899-12-30T08:00:00"/>
    <d v="1899-12-30T00:00:30"/>
    <s v="NEED COPY"/>
    <s v="07:58:00"/>
    <s v="M"/>
    <m/>
    <n v="1"/>
    <n v="69726"/>
    <s v="COM"/>
    <s v="10868"/>
    <n v="36"/>
    <m/>
    <n v="36"/>
    <x v="1"/>
    <n v="5.3999999999999995"/>
    <n v="4"/>
    <n v="30.6"/>
    <s v="Charmaine Lane"/>
    <s v="Internal Ad Sales"/>
    <s v="Broadcast"/>
    <s v="Agency"/>
    <s v="Y"/>
    <s v="2358"/>
    <s v="SEA"/>
  </r>
  <r>
    <s v="Rodi Platcow Malin:Muckleshoot Casino"/>
    <d v="2026-03-20T00:00:00"/>
    <d v="2026-03-20T00:00:00"/>
    <s v="Friday"/>
    <d v="1899-12-30T19:00:00"/>
    <d v="1899-12-30T23:59:00"/>
    <d v="1899-12-30T00:00:30"/>
    <s v="NEED COPY"/>
    <s v="19:14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7T00:00:00"/>
    <d v="2026-03-17T00:00:00"/>
    <s v="Tuesday"/>
    <d v="1899-12-30T19:00:00"/>
    <d v="1899-12-30T23:59:00"/>
    <d v="1899-12-30T00:00:30"/>
    <s v="NEED COPY"/>
    <s v="19:25:3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26T00:00:00"/>
    <d v="2026-03-26T00:00:00"/>
    <s v="Thursday"/>
    <d v="1899-12-30T19:00:00"/>
    <d v="1899-12-30T23:59:00"/>
    <d v="1899-12-30T00:00:30"/>
    <s v="NEED COPY"/>
    <s v="19:29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27T00:00:00"/>
    <d v="2026-03-27T00:00:00"/>
    <s v="Friday"/>
    <d v="1899-12-30T19:00:00"/>
    <d v="1899-12-30T23:59:00"/>
    <d v="1899-12-30T00:00:30"/>
    <s v="NEED COPY"/>
    <s v="19:58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9T00:00:00"/>
    <d v="2026-03-19T00:00:00"/>
    <s v="Thursday"/>
    <d v="1899-12-30T19:00:00"/>
    <d v="1899-12-30T23:59:00"/>
    <d v="1899-12-30T00:00:30"/>
    <s v="NEED COPY"/>
    <s v="20:20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6T00:00:00"/>
    <d v="2026-03-16T00:00:00"/>
    <s v="Monday"/>
    <d v="1899-12-30T19:00:00"/>
    <d v="1899-12-30T23:59:00"/>
    <d v="1899-12-30T00:00:30"/>
    <s v="NEED COPY"/>
    <s v="20:59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09T00:00:00"/>
    <d v="2026-03-09T00:00:00"/>
    <s v="Monday"/>
    <d v="1899-12-30T19:00:00"/>
    <d v="1899-12-30T23:59:00"/>
    <d v="1899-12-30T00:00:30"/>
    <s v="NEED COPY"/>
    <s v="21:28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8T00:00:00"/>
    <d v="2026-03-18T00:00:00"/>
    <s v="Wednesday"/>
    <d v="1899-12-30T19:00:00"/>
    <d v="1899-12-30T23:59:00"/>
    <d v="1899-12-30T00:00:30"/>
    <s v="NEED COPY"/>
    <s v="21:38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3T00:00:00"/>
    <d v="2026-03-13T00:00:00"/>
    <s v="Friday"/>
    <d v="1899-12-30T19:00:00"/>
    <d v="1899-12-30T23:59:00"/>
    <d v="1899-12-30T00:00:30"/>
    <s v="NEED COPY"/>
    <s v="21:58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24T00:00:00"/>
    <d v="2026-03-24T00:00:00"/>
    <s v="Tuesday"/>
    <d v="1899-12-30T19:00:00"/>
    <d v="1899-12-30T23:59:00"/>
    <d v="1899-12-30T00:00:30"/>
    <s v="NEED COPY"/>
    <s v="22:12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2T00:00:00"/>
    <d v="2026-03-12T00:00:00"/>
    <s v="Thursday"/>
    <d v="1899-12-30T19:00:00"/>
    <d v="1899-12-30T23:59:00"/>
    <d v="1899-12-30T00:00:30"/>
    <s v="NEED COPY"/>
    <s v="22:25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0T00:00:00"/>
    <d v="2026-03-10T00:00:00"/>
    <s v="Tuesday"/>
    <d v="1899-12-30T19:00:00"/>
    <d v="1899-12-30T23:59:00"/>
    <d v="1899-12-30T00:00:30"/>
    <s v="NEED COPY"/>
    <s v="23:12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11T00:00:00"/>
    <d v="2026-03-11T00:00:00"/>
    <s v="Wednesday"/>
    <d v="1899-12-30T19:00:00"/>
    <d v="1899-12-30T23:59:00"/>
    <d v="1899-12-30T00:00:30"/>
    <s v="NEED COPY"/>
    <s v="23:27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23T00:00:00"/>
    <d v="2026-03-23T00:00:00"/>
    <s v="Monday"/>
    <d v="1899-12-30T19:00:00"/>
    <d v="1899-12-30T23:59:00"/>
    <d v="1899-12-30T00:00:30"/>
    <s v="NEED COPY"/>
    <s v="23:44:0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25T00:00:00"/>
    <d v="2026-03-25T00:00:00"/>
    <s v="Wednesday"/>
    <d v="1899-12-30T19:00:00"/>
    <d v="1899-12-30T23:59:00"/>
    <d v="1899-12-30T00:00:30"/>
    <s v="NEED COPY"/>
    <s v="23:58:30"/>
    <s v="M"/>
    <m/>
    <n v="1"/>
    <n v="69727"/>
    <s v="COM"/>
    <s v="10868"/>
    <n v="57"/>
    <m/>
    <n v="57"/>
    <x v="1"/>
    <n v="8.5499999999999989"/>
    <n v="4"/>
    <n v="48.45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06:00:00"/>
    <d v="1899-12-30T12:00:00"/>
    <d v="1899-12-30T00:00:30"/>
    <s v="NEED COPY"/>
    <s v="06:20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06:00:00"/>
    <d v="1899-12-30T12:00:00"/>
    <d v="1899-12-30T00:00:30"/>
    <s v="NEED COPY"/>
    <s v="06:31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06:00:00"/>
    <d v="1899-12-30T12:00:00"/>
    <d v="1899-12-30T00:00:30"/>
    <s v="NEED COPY"/>
    <s v="06:31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06:00:00"/>
    <d v="1899-12-30T12:00:00"/>
    <d v="1899-12-30T00:00:30"/>
    <s v="NEED COPY"/>
    <s v="06:48:3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06:00:00"/>
    <d v="1899-12-30T12:00:00"/>
    <d v="1899-12-30T00:00:30"/>
    <s v="NEED COPY"/>
    <s v="07:0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06:00:00"/>
    <d v="1899-12-30T12:00:00"/>
    <d v="1899-12-30T00:00:30"/>
    <s v="NEED COPY"/>
    <s v="07:1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06:00:00"/>
    <d v="1899-12-30T12:00:00"/>
    <d v="1899-12-30T00:00:30"/>
    <s v="NEED COPY"/>
    <s v="07:1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06:00:00"/>
    <d v="1899-12-30T12:00:00"/>
    <d v="1899-12-30T00:00:30"/>
    <s v="NEED COPY"/>
    <s v="07:1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06:00:00"/>
    <d v="1899-12-30T12:00:00"/>
    <d v="1899-12-30T00:00:30"/>
    <s v="NEED COPY"/>
    <s v="07:1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06:00:00"/>
    <d v="1899-12-30T12:00:00"/>
    <d v="1899-12-30T00:00:30"/>
    <s v="NEED COPY"/>
    <s v="07:3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06:00:00"/>
    <d v="1899-12-30T12:00:00"/>
    <d v="1899-12-30T00:00:30"/>
    <s v="NEED COPY"/>
    <s v="07:4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06:00:00"/>
    <d v="1899-12-30T12:00:00"/>
    <d v="1899-12-30T00:00:30"/>
    <s v="NEED COPY"/>
    <s v="07:4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06:00:00"/>
    <d v="1899-12-30T12:00:00"/>
    <d v="1899-12-30T00:00:30"/>
    <s v="NEED COPY"/>
    <s v="07:5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06:00:00"/>
    <d v="1899-12-30T12:00:00"/>
    <d v="1899-12-30T00:00:30"/>
    <s v="NEED COPY"/>
    <s v="07:5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06:00:00"/>
    <d v="1899-12-30T12:00:00"/>
    <d v="1899-12-30T00:00:30"/>
    <s v="NEED COPY"/>
    <s v="07:58:00"/>
    <s v="M"/>
    <m/>
    <n v="1"/>
    <n v="69728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11:00:00"/>
    <d v="1899-12-30T13:00:00"/>
    <d v="1899-12-30T00:00:30"/>
    <s v="NEED COPY"/>
    <s v="11:08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6T00:00:00"/>
    <d v="2026-03-16T00:00:00"/>
    <s v="Monday"/>
    <d v="1899-12-30T11:00:00"/>
    <d v="1899-12-30T13:00:00"/>
    <d v="1899-12-30T00:00:30"/>
    <s v="NEED COPY"/>
    <s v="11:08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3T00:00:00"/>
    <d v="2026-03-23T00:00:00"/>
    <s v="Monday"/>
    <d v="1899-12-30T11:00:00"/>
    <d v="1899-12-30T13:00:00"/>
    <d v="1899-12-30T00:00:30"/>
    <s v="NEED COPY"/>
    <s v="11:08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0T00:00:00"/>
    <d v="2026-03-20T00:00:00"/>
    <s v="Friday"/>
    <d v="1899-12-30T11:00:00"/>
    <d v="1899-12-30T13:00:00"/>
    <d v="1899-12-30T00:00:30"/>
    <s v="NEED COPY"/>
    <s v="11:18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8T00:00:00"/>
    <d v="2026-03-18T00:00:00"/>
    <s v="Wednesday"/>
    <d v="1899-12-30T11:00:00"/>
    <d v="1899-12-30T13:00:00"/>
    <d v="1899-12-30T00:00:30"/>
    <s v="NEED COPY"/>
    <s v="11:49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4T00:00:00"/>
    <d v="2026-03-24T00:00:00"/>
    <s v="Tuesday"/>
    <d v="1899-12-30T11:00:00"/>
    <d v="1899-12-30T13:00:00"/>
    <d v="1899-12-30T00:00:30"/>
    <s v="NEED COPY"/>
    <s v="11:56:3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0T00:00:00"/>
    <d v="2026-03-10T00:00:00"/>
    <s v="Tuesday"/>
    <d v="1899-12-30T11:00:00"/>
    <d v="1899-12-30T13:00:00"/>
    <d v="1899-12-30T00:00:30"/>
    <s v="NEED COPY"/>
    <s v="12:07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09T00:00:00"/>
    <d v="2026-03-09T00:00:00"/>
    <s v="Monday"/>
    <d v="1899-12-30T11:00:00"/>
    <d v="1899-12-30T13:00:00"/>
    <d v="1899-12-30T00:00:30"/>
    <s v="NEED COPY"/>
    <s v="12:29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7T00:00:00"/>
    <d v="2026-03-17T00:00:00"/>
    <s v="Tuesday"/>
    <d v="1899-12-30T11:00:00"/>
    <d v="1899-12-30T13:00:00"/>
    <d v="1899-12-30T00:00:30"/>
    <s v="NEED COPY"/>
    <s v="12:29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6T00:00:00"/>
    <d v="2026-03-26T00:00:00"/>
    <s v="Thursday"/>
    <d v="1899-12-30T11:00:00"/>
    <d v="1899-12-30T13:00:00"/>
    <d v="1899-12-30T00:00:30"/>
    <s v="NEED COPY"/>
    <s v="12:48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3T00:00:00"/>
    <d v="2026-03-13T00:00:00"/>
    <s v="Friday"/>
    <d v="1899-12-30T11:00:00"/>
    <d v="1899-12-30T13:00:00"/>
    <d v="1899-12-30T00:00:30"/>
    <s v="NEED COPY"/>
    <s v="12:59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5T00:00:00"/>
    <d v="2026-03-25T00:00:00"/>
    <s v="Wednesday"/>
    <d v="1899-12-30T11:00:00"/>
    <d v="1899-12-30T13:00:00"/>
    <d v="1899-12-30T00:00:30"/>
    <s v="NEED COPY"/>
    <s v="12:59:00"/>
    <s v="V"/>
    <m/>
    <n v="1"/>
    <n v="69729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8T00:00:00"/>
    <d v="2026-03-18T00:00:00"/>
    <s v="Wednesday"/>
    <d v="1899-12-30T11:00:00"/>
    <d v="1899-12-30T13:00:00"/>
    <d v="1899-12-30T00:00:30"/>
    <s v="NEED COPY"/>
    <s v="11:0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4T00:00:00"/>
    <d v="2026-03-24T00:00:00"/>
    <s v="Tuesday"/>
    <d v="1899-12-30T11:00:00"/>
    <d v="1899-12-30T13:00:00"/>
    <d v="1899-12-30T00:00:30"/>
    <s v="NEED COPY"/>
    <s v="11:0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6T00:00:00"/>
    <d v="2026-03-26T00:00:00"/>
    <s v="Thursday"/>
    <d v="1899-12-30T11:00:00"/>
    <d v="1899-12-30T13:00:00"/>
    <d v="1899-12-30T00:00:30"/>
    <s v="NEED COPY"/>
    <s v="11:0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9T00:00:00"/>
    <d v="2026-03-19T00:00:00"/>
    <s v="Thursday"/>
    <d v="1899-12-30T11:00:00"/>
    <d v="1899-12-30T13:00:00"/>
    <d v="1899-12-30T00:00:30"/>
    <s v="NEED COPY"/>
    <s v="11:1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2T00:00:00"/>
    <d v="2026-03-12T00:00:00"/>
    <s v="Thursday"/>
    <d v="1899-12-30T11:00:00"/>
    <d v="1899-12-30T13:00:00"/>
    <d v="1899-12-30T00:00:30"/>
    <s v="NEED COPY"/>
    <s v="11:2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6T00:00:00"/>
    <d v="2026-03-16T00:00:00"/>
    <s v="Monday"/>
    <d v="1899-12-30T11:00:00"/>
    <d v="1899-12-30T13:00:00"/>
    <d v="1899-12-30T00:00:30"/>
    <s v="NEED COPY"/>
    <s v="11:40:3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0T00:00:00"/>
    <d v="2026-03-10T00:00:00"/>
    <s v="Tuesday"/>
    <d v="1899-12-30T11:00:00"/>
    <d v="1899-12-30T13:00:00"/>
    <d v="1899-12-30T00:00:30"/>
    <s v="NEED COPY"/>
    <s v="11:41:3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7T00:00:00"/>
    <d v="2026-03-17T00:00:00"/>
    <s v="Tuesday"/>
    <d v="1899-12-30T11:00:00"/>
    <d v="1899-12-30T13:00:00"/>
    <d v="1899-12-30T00:00:30"/>
    <s v="NEED COPY"/>
    <s v="11:41:3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3T00:00:00"/>
    <d v="2026-03-13T00:00:00"/>
    <s v="Friday"/>
    <d v="1899-12-30T11:00:00"/>
    <d v="1899-12-30T13:00:00"/>
    <d v="1899-12-30T00:00:30"/>
    <s v="NEED COPY"/>
    <s v="11:42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09T00:00:00"/>
    <d v="2026-03-09T00:00:00"/>
    <s v="Monday"/>
    <d v="1899-12-30T11:00:00"/>
    <d v="1899-12-30T13:00:00"/>
    <d v="1899-12-30T00:00:30"/>
    <s v="NEED COPY"/>
    <s v="11:49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2T00:00:00"/>
    <d v="2026-03-12T00:00:00"/>
    <s v="Thursday"/>
    <d v="1899-12-30T11:00:00"/>
    <d v="1899-12-30T13:00:00"/>
    <d v="1899-12-30T00:00:30"/>
    <s v="NEED COPY"/>
    <s v="11:56:3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3T00:00:00"/>
    <d v="2026-03-23T00:00:00"/>
    <s v="Monday"/>
    <d v="1899-12-30T11:00:00"/>
    <d v="1899-12-30T13:00:00"/>
    <d v="1899-12-30T00:00:30"/>
    <s v="NEED COPY"/>
    <s v="11:57:3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7T00:00:00"/>
    <d v="2026-03-27T00:00:00"/>
    <s v="Friday"/>
    <d v="1899-12-30T11:00:00"/>
    <d v="1899-12-30T13:00:00"/>
    <d v="1899-12-30T00:00:30"/>
    <s v="NEED COPY"/>
    <s v="12:07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6T00:00:00"/>
    <d v="2026-03-16T00:00:00"/>
    <s v="Monday"/>
    <d v="1899-12-30T11:00:00"/>
    <d v="1899-12-30T13:00:00"/>
    <d v="1899-12-30T00:00:30"/>
    <s v="NEED COPY"/>
    <s v="12:1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9T00:00:00"/>
    <d v="2026-03-19T00:00:00"/>
    <s v="Thursday"/>
    <d v="1899-12-30T11:00:00"/>
    <d v="1899-12-30T13:00:00"/>
    <d v="1899-12-30T00:00:30"/>
    <s v="NEED COPY"/>
    <s v="12:1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3T00:00:00"/>
    <d v="2026-03-13T00:00:00"/>
    <s v="Friday"/>
    <d v="1899-12-30T11:00:00"/>
    <d v="1899-12-30T13:00:00"/>
    <d v="1899-12-30T00:00:30"/>
    <s v="NEED COPY"/>
    <s v="12:29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0T00:00:00"/>
    <d v="2026-03-10T00:00:00"/>
    <s v="Tuesday"/>
    <d v="1899-12-30T11:00:00"/>
    <d v="1899-12-30T13:00:00"/>
    <d v="1899-12-30T00:00:30"/>
    <s v="NEED COPY"/>
    <s v="12:3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3T00:00:00"/>
    <d v="2026-03-23T00:00:00"/>
    <s v="Monday"/>
    <d v="1899-12-30T11:00:00"/>
    <d v="1899-12-30T13:00:00"/>
    <d v="1899-12-30T00:00:30"/>
    <s v="NEED COPY"/>
    <s v="12:3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7T00:00:00"/>
    <d v="2026-03-27T00:00:00"/>
    <s v="Friday"/>
    <d v="1899-12-30T11:00:00"/>
    <d v="1899-12-30T13:00:00"/>
    <d v="1899-12-30T00:00:30"/>
    <s v="NEED COPY"/>
    <s v="12:48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7T00:00:00"/>
    <d v="2026-03-17T00:00:00"/>
    <s v="Tuesday"/>
    <d v="1899-12-30T11:00:00"/>
    <d v="1899-12-30T13:00:00"/>
    <d v="1899-12-30T00:00:30"/>
    <s v="NEED COPY"/>
    <s v="12:59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4T00:00:00"/>
    <d v="2026-03-24T00:00:00"/>
    <s v="Tuesday"/>
    <d v="1899-12-30T11:00:00"/>
    <d v="1899-12-30T13:00:00"/>
    <d v="1899-12-30T00:00:30"/>
    <s v="NEED COPY"/>
    <s v="12:59:00"/>
    <s v="V"/>
    <m/>
    <n v="1"/>
    <n v="69730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11:00:00"/>
    <d v="1899-12-30T13:00:00"/>
    <d v="1899-12-30T00:00:30"/>
    <s v="NEED COPY"/>
    <s v="11:0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11:00:00"/>
    <d v="1899-12-30T13:00:00"/>
    <d v="1899-12-30T00:00:30"/>
    <s v="NEED COPY"/>
    <s v="11:0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11:00:00"/>
    <d v="1899-12-30T13:00:00"/>
    <d v="1899-12-30T00:00:30"/>
    <s v="NEED COPY"/>
    <s v="11:0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11:00:00"/>
    <d v="1899-12-30T13:00:00"/>
    <d v="1899-12-30T00:00:30"/>
    <s v="NEED COPY"/>
    <s v="11:2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11:00:00"/>
    <d v="1899-12-30T13:00:00"/>
    <d v="1899-12-30T00:00:30"/>
    <s v="NEED COPY"/>
    <s v="11:35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11:00:00"/>
    <d v="1899-12-30T13:00:00"/>
    <d v="1899-12-30T00:00:30"/>
    <s v="NEED COPY"/>
    <s v="11:35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11:00:00"/>
    <d v="1899-12-30T13:00:00"/>
    <d v="1899-12-30T00:00:30"/>
    <s v="NEED COPY"/>
    <s v="11:35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11:00:00"/>
    <d v="1899-12-30T13:00:00"/>
    <d v="1899-12-30T00:00:30"/>
    <s v="NEED COPY"/>
    <s v="11:35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11:00:00"/>
    <d v="1899-12-30T13:00:00"/>
    <d v="1899-12-30T00:00:30"/>
    <s v="NEED COPY"/>
    <s v="11:35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11:00:00"/>
    <d v="1899-12-30T13:00:00"/>
    <d v="1899-12-30T00:00:30"/>
    <s v="NEED COPY"/>
    <s v="11:59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11:00:00"/>
    <d v="1899-12-30T13:00:00"/>
    <d v="1899-12-30T00:00:30"/>
    <s v="NEED COPY"/>
    <s v="12:07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11:00:00"/>
    <d v="1899-12-30T13:00:00"/>
    <d v="1899-12-30T00:00:30"/>
    <s v="NEED COPY"/>
    <s v="12:07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11:00:00"/>
    <d v="1899-12-30T13:00:00"/>
    <d v="1899-12-30T00:00:30"/>
    <s v="NEED COPY"/>
    <s v="12:07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11:00:00"/>
    <d v="1899-12-30T13:00:00"/>
    <d v="1899-12-30T00:00:30"/>
    <s v="NEED COPY"/>
    <s v="12:1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11:00:00"/>
    <d v="1899-12-30T13:00:00"/>
    <d v="1899-12-30T00:00:30"/>
    <s v="NEED COPY"/>
    <s v="12:1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11:00:00"/>
    <d v="1899-12-30T13:00:00"/>
    <d v="1899-12-30T00:00:30"/>
    <s v="NEED COPY"/>
    <s v="12:4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11:00:00"/>
    <d v="1899-12-30T13:00:00"/>
    <d v="1899-12-30T00:00:30"/>
    <s v="NEED COPY"/>
    <s v="12:4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11:00:00"/>
    <d v="1899-12-30T13:00:00"/>
    <d v="1899-12-30T00:00:30"/>
    <s v="NEED COPY"/>
    <s v="12:4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11:00:00"/>
    <d v="1899-12-30T13:00:00"/>
    <d v="1899-12-30T00:00:30"/>
    <s v="NEED COPY"/>
    <s v="12:48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11:00:00"/>
    <d v="1899-12-30T13:00:00"/>
    <d v="1899-12-30T00:00:30"/>
    <s v="NEED COPY"/>
    <s v="12:59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11:00:00"/>
    <d v="1899-12-30T13:00:00"/>
    <d v="1899-12-30T00:00:30"/>
    <s v="NEED COPY"/>
    <s v="12:59:00"/>
    <s v="V"/>
    <m/>
    <n v="1"/>
    <n v="69731"/>
    <s v="COM"/>
    <s v="10868"/>
    <n v="37"/>
    <m/>
    <n v="37"/>
    <x v="1"/>
    <n v="5.55"/>
    <n v="4"/>
    <n v="31.45"/>
    <s v="Charmaine Lane"/>
    <s v="Internal Ad Sales"/>
    <s v="Broadcast"/>
    <s v="Agency"/>
    <s v="Y"/>
    <s v="2358"/>
    <s v="SEA"/>
  </r>
  <r>
    <s v="Rodi Platcow Malin:Muckleshoot Casino"/>
    <d v="2026-03-27T00:00:00"/>
    <d v="2026-03-27T00:00:00"/>
    <s v="Friday"/>
    <d v="1899-12-30T06:00:00"/>
    <d v="1899-12-30T23:59:00"/>
    <d v="1899-12-30T00:00:30"/>
    <s v="NEED COPY"/>
    <s v="06:31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2T00:00:00"/>
    <d v="2026-03-12T00:00:00"/>
    <s v="Thursday"/>
    <d v="1899-12-30T06:00:00"/>
    <d v="1899-12-30T23:59:00"/>
    <d v="1899-12-30T00:00:30"/>
    <s v="NEED COPY"/>
    <s v="06:48:3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9T00:00:00"/>
    <d v="2026-03-19T00:00:00"/>
    <s v="Thursday"/>
    <d v="1899-12-30T06:00:00"/>
    <d v="1899-12-30T23:59:00"/>
    <d v="1899-12-30T00:00:30"/>
    <s v="NEED COPY"/>
    <s v="06:48:3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6T00:00:00"/>
    <d v="2026-03-26T00:00:00"/>
    <s v="Thursday"/>
    <d v="1899-12-30T06:00:00"/>
    <d v="1899-12-30T23:59:00"/>
    <d v="1899-12-30T00:00:30"/>
    <s v="NEED COPY"/>
    <s v="07:0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09T00:00:00"/>
    <d v="2026-03-09T00:00:00"/>
    <s v="Monday"/>
    <d v="1899-12-30T06:00:00"/>
    <d v="1899-12-30T23:59:00"/>
    <d v="1899-12-30T00:00:30"/>
    <s v="NEED COPY"/>
    <s v="07:4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7T00:00:00"/>
    <d v="2026-03-17T00:00:00"/>
    <s v="Tuesday"/>
    <d v="1899-12-30T06:00:00"/>
    <d v="1899-12-30T23:59:00"/>
    <d v="1899-12-30T00:00:30"/>
    <s v="NEED COPY"/>
    <s v="07:4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1T00:00:00"/>
    <d v="2026-03-11T00:00:00"/>
    <s v="Wednesday"/>
    <d v="1899-12-30T06:00:00"/>
    <d v="1899-12-30T23:59:00"/>
    <d v="1899-12-30T00:00:30"/>
    <s v="NEED COPY"/>
    <s v="07:5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3T00:00:00"/>
    <d v="2026-03-13T00:00:00"/>
    <s v="Friday"/>
    <d v="1899-12-30T06:00:00"/>
    <d v="1899-12-30T23:59:00"/>
    <d v="1899-12-30T00:00:30"/>
    <s v="NEED COPY"/>
    <s v="19:14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3T00:00:00"/>
    <d v="2026-03-23T00:00:00"/>
    <s v="Monday"/>
    <d v="1899-12-30T06:00:00"/>
    <d v="1899-12-30T23:59:00"/>
    <d v="1899-12-30T00:00:30"/>
    <s v="NEED COPY"/>
    <s v="19:29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6T00:00:00"/>
    <d v="2026-03-16T00:00:00"/>
    <s v="Monday"/>
    <d v="1899-12-30T06:00:00"/>
    <d v="1899-12-30T23:59:00"/>
    <d v="1899-12-30T00:00:30"/>
    <s v="NEED COPY"/>
    <s v="19:44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0T00:00:00"/>
    <d v="2026-03-20T00:00:00"/>
    <s v="Friday"/>
    <d v="1899-12-30T06:00:00"/>
    <d v="1899-12-30T23:59:00"/>
    <d v="1899-12-30T00:00:30"/>
    <s v="NEED COPY"/>
    <s v="19:50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7T00:00:00"/>
    <d v="2026-03-17T00:00:00"/>
    <s v="Tuesday"/>
    <d v="1899-12-30T06:00:00"/>
    <d v="1899-12-30T23:59:00"/>
    <d v="1899-12-30T00:00:30"/>
    <s v="NEED COPY"/>
    <s v="19:55:15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09T00:00:00"/>
    <d v="2026-03-09T00:00:00"/>
    <s v="Monday"/>
    <d v="1899-12-30T06:00:00"/>
    <d v="1899-12-30T23:59:00"/>
    <d v="1899-12-30T00:00:30"/>
    <s v="NEED COPY"/>
    <s v="19:59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06:00:00"/>
    <d v="1899-12-30T23:59:00"/>
    <d v="1899-12-30T00:00:30"/>
    <s v="NEED COPY"/>
    <s v="20:20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06:00:00"/>
    <d v="1899-12-30T23:59:00"/>
    <d v="1899-12-30T00:00:30"/>
    <s v="NEED COPY"/>
    <s v="20:31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06:00:00"/>
    <d v="1899-12-30T23:59:00"/>
    <d v="1899-12-30T00:00:30"/>
    <s v="NEED COPY"/>
    <s v="20:48:3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06:00:00"/>
    <d v="1899-12-30T23:59:00"/>
    <d v="1899-12-30T00:00:30"/>
    <s v="NEED COPY"/>
    <s v="20:48:3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3T00:00:00"/>
    <d v="2026-03-13T00:00:00"/>
    <s v="Friday"/>
    <d v="1899-12-30T06:00:00"/>
    <d v="1899-12-30T23:59:00"/>
    <d v="1899-12-30T00:00:30"/>
    <s v="NEED COPY"/>
    <s v="20:59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2T00:00:00"/>
    <d v="2026-03-12T00:00:00"/>
    <s v="Thursday"/>
    <d v="1899-12-30T06:00:00"/>
    <d v="1899-12-30T23:59:00"/>
    <d v="1899-12-30T00:00:30"/>
    <s v="NEED COPY"/>
    <s v="21:0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0T00:00:00"/>
    <d v="2026-03-20T00:00:00"/>
    <s v="Friday"/>
    <d v="1899-12-30T06:00:00"/>
    <d v="1899-12-30T23:59:00"/>
    <d v="1899-12-30T00:00:30"/>
    <s v="NEED COPY"/>
    <s v="21:1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06:00:00"/>
    <d v="1899-12-30T23:59:00"/>
    <d v="1899-12-30T00:00:30"/>
    <s v="NEED COPY"/>
    <s v="21:20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1T00:00:00"/>
    <d v="2026-03-11T00:00:00"/>
    <s v="Wednesday"/>
    <d v="1899-12-30T06:00:00"/>
    <d v="1899-12-30T23:59:00"/>
    <d v="1899-12-30T00:00:30"/>
    <s v="NEED COPY"/>
    <s v="21:2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9T00:00:00"/>
    <d v="2026-03-19T00:00:00"/>
    <s v="Thursday"/>
    <d v="1899-12-30T06:00:00"/>
    <d v="1899-12-30T23:59:00"/>
    <d v="1899-12-30T00:00:30"/>
    <s v="NEED COPY"/>
    <s v="21:2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3T00:00:00"/>
    <d v="2026-03-23T00:00:00"/>
    <s v="Monday"/>
    <d v="1899-12-30T06:00:00"/>
    <d v="1899-12-30T23:59:00"/>
    <d v="1899-12-30T00:00:30"/>
    <s v="NEED COPY"/>
    <s v="21:5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7T00:00:00"/>
    <d v="2026-03-27T00:00:00"/>
    <s v="Friday"/>
    <d v="1899-12-30T06:00:00"/>
    <d v="1899-12-30T23:59:00"/>
    <d v="1899-12-30T00:00:30"/>
    <s v="NEED COPY"/>
    <s v="22:0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06:00:00"/>
    <d v="1899-12-30T23:59:00"/>
    <d v="1899-12-30T00:00:30"/>
    <s v="NEED COPY"/>
    <s v="22:2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06:00:00"/>
    <d v="1899-12-30T23:59:00"/>
    <d v="1899-12-30T00:00:30"/>
    <s v="NEED COPY"/>
    <s v="22:28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06:00:00"/>
    <d v="1899-12-30T23:59:00"/>
    <d v="1899-12-30T00:00:30"/>
    <s v="NEED COPY"/>
    <s v="22:55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6T00:00:00"/>
    <d v="2026-03-26T00:00:00"/>
    <s v="Thursday"/>
    <d v="1899-12-30T06:00:00"/>
    <d v="1899-12-30T23:59:00"/>
    <d v="1899-12-30T00:00:30"/>
    <s v="NEED COPY"/>
    <s v="22:55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16T00:00:00"/>
    <d v="2026-03-16T00:00:00"/>
    <s v="Monday"/>
    <d v="1899-12-30T06:00:00"/>
    <d v="1899-12-30T23:59:00"/>
    <d v="1899-12-30T00:00:30"/>
    <s v="NEED COPY"/>
    <s v="23:05:00"/>
    <s v="M"/>
    <m/>
    <n v="1"/>
    <n v="69732"/>
    <s v="BNS"/>
    <s v="10868"/>
    <n v="0"/>
    <m/>
    <n v="0"/>
    <x v="1"/>
    <n v="0"/>
    <n v="4"/>
    <n v="0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20:00:00"/>
    <d v="1899-12-30T23:59:00"/>
    <d v="1899-12-30T00:00:30"/>
    <s v="NEED COPY"/>
    <s v="20:20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20:00:00"/>
    <d v="1899-12-30T23:59:00"/>
    <d v="1899-12-30T00:00:30"/>
    <s v="NEED COPY"/>
    <s v="20:31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20:00:00"/>
    <d v="1899-12-30T23:59:00"/>
    <d v="1899-12-30T00:00:30"/>
    <s v="NEED COPY"/>
    <s v="20:48:3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20:00:00"/>
    <d v="1899-12-30T23:59:00"/>
    <d v="1899-12-30T00:00:30"/>
    <s v="NEED COPY"/>
    <s v="20:59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20:00:00"/>
    <d v="1899-12-30T23:59:00"/>
    <d v="1899-12-30T00:00:30"/>
    <s v="NEED COPY"/>
    <s v="21:12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20:00:00"/>
    <d v="1899-12-30T23:59:00"/>
    <d v="1899-12-30T00:00:30"/>
    <s v="NEED COPY"/>
    <s v="21:20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20:00:00"/>
    <d v="1899-12-30T23:59:00"/>
    <d v="1899-12-30T00:00:30"/>
    <s v="NEED COPY"/>
    <s v="21:26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20:00:00"/>
    <d v="1899-12-30T23:59:00"/>
    <d v="1899-12-30T00:00:30"/>
    <s v="NEED COPY"/>
    <s v="21:26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20:00:00"/>
    <d v="1899-12-30T23:59:00"/>
    <d v="1899-12-30T00:00:30"/>
    <s v="NEED COPY"/>
    <s v="21:42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20:00:00"/>
    <d v="1899-12-30T23:59:00"/>
    <d v="1899-12-30T00:00:30"/>
    <s v="NEED COPY"/>
    <s v="21:43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5T00:00:00"/>
    <d v="2026-03-15T00:00:00"/>
    <s v="Sunday"/>
    <d v="1899-12-30T20:00:00"/>
    <d v="1899-12-30T23:59:00"/>
    <d v="1899-12-30T00:00:30"/>
    <s v="NEED COPY"/>
    <s v="22:55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20:00:00"/>
    <d v="1899-12-30T23:59:00"/>
    <d v="1899-12-30T00:00:30"/>
    <s v="NEED COPY"/>
    <s v="22:56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9T00:00:00"/>
    <d v="2026-03-29T00:00:00"/>
    <s v="Sunday"/>
    <d v="1899-12-30T20:00:00"/>
    <d v="1899-12-30T23:59:00"/>
    <d v="1899-12-30T00:00:30"/>
    <s v="NEED COPY"/>
    <s v="23:10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1T00:00:00"/>
    <d v="2026-03-21T00:00:00"/>
    <s v="Saturday"/>
    <d v="1899-12-30T20:00:00"/>
    <d v="1899-12-30T23:59:00"/>
    <d v="1899-12-30T00:00:30"/>
    <s v="NEED COPY"/>
    <s v="23:12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2T00:00:00"/>
    <d v="2026-03-22T00:00:00"/>
    <s v="Sunday"/>
    <d v="1899-12-30T20:00:00"/>
    <d v="1899-12-30T23:59:00"/>
    <d v="1899-12-30T00:00:30"/>
    <s v="NEED COPY"/>
    <s v="23:25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28T00:00:00"/>
    <d v="2026-03-28T00:00:00"/>
    <s v="Saturday"/>
    <d v="1899-12-30T20:00:00"/>
    <d v="1899-12-30T23:59:00"/>
    <d v="1899-12-30T00:00:30"/>
    <s v="NEED COPY"/>
    <s v="23:41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s v="Rodi Platcow Malin:Muckleshoot Casino"/>
    <d v="2026-03-14T00:00:00"/>
    <d v="2026-03-14T00:00:00"/>
    <s v="Saturday"/>
    <d v="1899-12-30T20:00:00"/>
    <d v="1899-12-30T23:59:00"/>
    <d v="1899-12-30T00:00:30"/>
    <s v="NEED COPY"/>
    <s v="23:57:00"/>
    <s v="M"/>
    <m/>
    <n v="1"/>
    <n v="69733"/>
    <s v="COM"/>
    <s v="10868"/>
    <n v="46"/>
    <m/>
    <n v="46"/>
    <x v="1"/>
    <n v="6.8999999999999995"/>
    <n v="4"/>
    <n v="39.1"/>
    <s v="Charmaine Lane"/>
    <s v="Internal Ad Sales"/>
    <s v="Broadcast"/>
    <s v="Agency"/>
    <s v="Y"/>
    <s v="2358"/>
    <s v="SEA"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m/>
    <m/>
    <m/>
    <x v="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C7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99">
        <item m="1" x="74"/>
        <item m="1" x="90"/>
        <item m="1" x="9"/>
        <item m="1" x="25"/>
        <item m="1" x="34"/>
        <item m="1" x="50"/>
        <item m="1" x="65"/>
        <item m="1" x="82"/>
        <item m="1" x="18"/>
        <item m="1" x="42"/>
        <item m="1" x="59"/>
        <item m="1" x="75"/>
        <item m="1" x="91"/>
        <item m="1" x="10"/>
        <item m="1" x="26"/>
        <item m="1" x="51"/>
        <item m="1" x="66"/>
        <item m="1" x="83"/>
        <item m="1" x="3"/>
        <item m="1" x="19"/>
        <item m="1" x="43"/>
        <item m="1" x="76"/>
        <item m="1" x="92"/>
        <item m="1" x="11"/>
        <item m="1" x="27"/>
        <item m="1" x="35"/>
        <item m="1" x="52"/>
        <item m="1" x="67"/>
        <item m="1" x="84"/>
        <item m="1" x="44"/>
        <item m="1" x="60"/>
        <item m="1" x="77"/>
        <item m="1" x="12"/>
        <item m="1" x="28"/>
        <item m="1" x="36"/>
        <item m="1" x="53"/>
        <item m="1" x="68"/>
        <item m="1" x="85"/>
        <item m="1" x="4"/>
        <item m="1" x="20"/>
        <item m="1" x="45"/>
        <item m="1" x="93"/>
        <item m="1" x="13"/>
        <item m="1" x="29"/>
        <item m="1" x="37"/>
        <item m="1" x="54"/>
        <item m="1" x="69"/>
        <item m="1" x="86"/>
        <item m="1" x="5"/>
        <item m="1" x="21"/>
        <item m="1" x="46"/>
        <item m="1" x="61"/>
        <item m="1" x="78"/>
        <item m="1" x="94"/>
        <item m="1" x="14"/>
        <item m="1" x="30"/>
        <item m="1" x="38"/>
        <item m="1" x="55"/>
        <item m="1" x="70"/>
        <item m="1" x="87"/>
        <item m="1" x="6"/>
        <item m="1" x="22"/>
        <item m="1" x="47"/>
        <item m="1" x="62"/>
        <item m="1" x="79"/>
        <item m="1" x="95"/>
        <item m="1" x="15"/>
        <item m="1" x="31"/>
        <item m="1" x="39"/>
        <item m="1" x="56"/>
        <item m="1" x="71"/>
        <item m="1" x="88"/>
        <item m="1" x="7"/>
        <item m="1" x="23"/>
        <item m="1" x="48"/>
        <item m="1" x="63"/>
        <item m="1" x="80"/>
        <item m="1" x="96"/>
        <item m="1" x="16"/>
        <item m="1" x="32"/>
        <item m="1" x="40"/>
        <item m="1" x="57"/>
        <item m="1" x="72"/>
        <item m="1" x="41"/>
        <item m="1" x="58"/>
        <item m="1" x="73"/>
        <item m="1" x="89"/>
        <item m="1" x="8"/>
        <item m="1" x="24"/>
        <item m="1" x="49"/>
        <item m="1" x="64"/>
        <item m="1" x="81"/>
        <item m="1" x="97"/>
        <item m="1" x="17"/>
        <item m="1" x="3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 v="95"/>
    </i>
    <i>
      <x v="96"/>
    </i>
    <i>
      <x v="9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ate" fld="15" baseField="18" baseItem="13" numFmtId="169"/>
    <dataField name="Sum of Station Net" fld="21" baseField="18" baseItem="13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gutierrez@rpmadv.com" TargetMode="External"/><Relationship Id="rId2" Type="http://schemas.openxmlformats.org/officeDocument/2006/relationships/hyperlink" Target="mailto:mjpapaleo@rpmadv.com" TargetMode="External"/><Relationship Id="rId1" Type="http://schemas.openxmlformats.org/officeDocument/2006/relationships/externalLinkPath" Target="/Accounting/Billing/2010/98B3742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inance.ap@muckleshootcasino.com" TargetMode="External"/><Relationship Id="rId4" Type="http://schemas.openxmlformats.org/officeDocument/2006/relationships/hyperlink" Target="mailto:rbezouska@rpmadv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0">
    <pageSetUpPr fitToPage="1"/>
  </sheetPr>
  <dimension ref="A1:AJ44"/>
  <sheetViews>
    <sheetView topLeftCell="B1" zoomScaleNormal="100" workbookViewId="0">
      <selection activeCell="D23" sqref="D23"/>
    </sheetView>
  </sheetViews>
  <sheetFormatPr defaultColWidth="0" defaultRowHeight="15" customHeight="1"/>
  <cols>
    <col min="1" max="1" width="23.28515625" style="28" hidden="1" customWidth="1"/>
    <col min="2" max="2" width="11" style="29" customWidth="1"/>
    <col min="3" max="3" width="10.7109375" style="29" hidden="1" customWidth="1"/>
    <col min="4" max="4" width="10.7109375" style="29" customWidth="1"/>
    <col min="5" max="5" width="10.85546875" style="29" customWidth="1"/>
    <col min="6" max="6" width="10.140625" style="29" bestFit="1" customWidth="1"/>
    <col min="7" max="7" width="7.140625" style="29" bestFit="1" customWidth="1"/>
    <col min="8" max="8" width="25.28515625" style="28" customWidth="1"/>
    <col min="9" max="9" width="11.42578125" style="29" customWidth="1"/>
    <col min="10" max="10" width="5.85546875" style="29" customWidth="1"/>
    <col min="11" max="11" width="6.42578125" style="29" hidden="1" customWidth="1"/>
    <col min="12" max="12" width="10" style="29" customWidth="1"/>
    <col min="13" max="13" width="10" style="29" hidden="1" customWidth="1"/>
    <col min="14" max="16" width="11.5703125" style="29" customWidth="1"/>
    <col min="17" max="17" width="11.28515625" style="29" bestFit="1" customWidth="1"/>
    <col min="18" max="18" width="9.85546875" style="28" hidden="1" customWidth="1"/>
    <col min="19" max="19" width="6.7109375" style="28" hidden="1" customWidth="1"/>
    <col min="20" max="20" width="10.5703125" style="28" hidden="1" customWidth="1"/>
    <col min="21" max="21" width="26.5703125" style="28" hidden="1" customWidth="1"/>
    <col min="22" max="22" width="10.140625" style="28" hidden="1" customWidth="1"/>
    <col min="23" max="23" width="11" style="28" hidden="1" customWidth="1"/>
    <col min="24" max="24" width="11.7109375" style="28" hidden="1" customWidth="1"/>
    <col min="25" max="25" width="10.140625" style="28" hidden="1" customWidth="1"/>
    <col min="26" max="26" width="7.140625" style="28" hidden="1" customWidth="1"/>
    <col min="27" max="28" width="8.42578125" style="28" hidden="1" customWidth="1"/>
    <col min="29" max="29" width="6.42578125" style="28" hidden="1" customWidth="1"/>
    <col min="30" max="36" width="0" style="28" hidden="1" customWidth="1"/>
    <col min="37" max="16384" width="149.140625" style="28" hidden="1"/>
  </cols>
  <sheetData>
    <row r="1" spans="2:22" customFormat="1" ht="15" customHeight="1">
      <c r="B1" s="1"/>
      <c r="C1" s="2"/>
      <c r="D1" s="2"/>
      <c r="E1" s="2"/>
      <c r="F1" s="64" t="s">
        <v>34</v>
      </c>
      <c r="G1" s="64"/>
      <c r="H1" s="64"/>
      <c r="I1" s="64"/>
      <c r="J1" s="64"/>
      <c r="K1" s="64"/>
      <c r="L1" s="64"/>
      <c r="M1" s="2"/>
      <c r="N1" s="2"/>
      <c r="O1" s="2"/>
      <c r="P1" s="2"/>
      <c r="Q1" s="2"/>
    </row>
    <row r="2" spans="2:22" customFormat="1" ht="15" customHeight="1">
      <c r="B2" s="3"/>
      <c r="C2" s="2"/>
      <c r="D2" s="2"/>
      <c r="E2" s="2"/>
      <c r="F2" s="2"/>
      <c r="G2" s="2"/>
      <c r="I2" s="2"/>
      <c r="J2" s="2"/>
      <c r="K2" s="2"/>
      <c r="L2" s="2"/>
      <c r="M2" s="2"/>
      <c r="N2" s="2"/>
      <c r="O2" s="2"/>
      <c r="P2" s="2"/>
      <c r="Q2" s="2"/>
    </row>
    <row r="3" spans="2:22" customFormat="1" ht="15" customHeight="1">
      <c r="B3" s="1" t="s">
        <v>0</v>
      </c>
      <c r="C3" s="2"/>
      <c r="D3" s="65" t="s">
        <v>86</v>
      </c>
      <c r="E3" s="65"/>
      <c r="F3" s="65"/>
      <c r="G3" s="65"/>
      <c r="I3" s="3" t="s">
        <v>1</v>
      </c>
      <c r="J3" s="2"/>
      <c r="K3" s="2"/>
      <c r="L3" s="66" t="s">
        <v>73</v>
      </c>
      <c r="M3" s="66"/>
      <c r="N3" s="66"/>
      <c r="O3" s="66"/>
      <c r="P3" s="66"/>
      <c r="Q3" s="66"/>
    </row>
    <row r="4" spans="2:22" customFormat="1" ht="15" customHeight="1">
      <c r="B4" s="1" t="s">
        <v>2</v>
      </c>
      <c r="C4" s="2"/>
      <c r="D4" s="67" t="s">
        <v>87</v>
      </c>
      <c r="E4" s="68"/>
      <c r="F4" s="68"/>
      <c r="G4" s="68"/>
      <c r="I4" s="3" t="s">
        <v>4</v>
      </c>
      <c r="L4" s="66">
        <v>10868</v>
      </c>
      <c r="M4" s="66"/>
      <c r="N4" s="66"/>
      <c r="O4" s="66"/>
      <c r="P4" s="66"/>
      <c r="Q4" s="66"/>
    </row>
    <row r="5" spans="2:22" customFormat="1" ht="15" customHeight="1">
      <c r="B5" s="1" t="s">
        <v>3</v>
      </c>
      <c r="C5" s="2"/>
      <c r="D5" s="53" t="s">
        <v>88</v>
      </c>
      <c r="E5" s="54"/>
      <c r="F5" s="54"/>
      <c r="G5" s="54"/>
      <c r="I5" s="3" t="s">
        <v>5</v>
      </c>
      <c r="J5" s="2"/>
      <c r="K5" s="2"/>
      <c r="L5" s="66" t="s">
        <v>6</v>
      </c>
      <c r="M5" s="66"/>
      <c r="N5" s="66"/>
      <c r="O5" s="66"/>
      <c r="P5" s="66"/>
      <c r="Q5" s="66"/>
    </row>
    <row r="6" spans="2:22" customFormat="1" ht="15" customHeight="1">
      <c r="B6" s="1"/>
      <c r="C6" s="2"/>
      <c r="D6" s="65" t="s">
        <v>89</v>
      </c>
      <c r="E6" s="65"/>
      <c r="F6" s="55" t="s">
        <v>90</v>
      </c>
      <c r="G6" s="56">
        <v>60661</v>
      </c>
      <c r="I6" s="3" t="s">
        <v>8</v>
      </c>
      <c r="J6" s="2"/>
      <c r="K6" s="2"/>
      <c r="L6" s="66" t="s">
        <v>65</v>
      </c>
      <c r="M6" s="66"/>
      <c r="N6" s="66"/>
      <c r="O6" s="66"/>
      <c r="P6" s="66"/>
      <c r="Q6" s="66"/>
    </row>
    <row r="7" spans="2:22" customFormat="1" ht="15" customHeight="1">
      <c r="B7" s="2"/>
      <c r="C7" s="2"/>
      <c r="D7" s="53"/>
      <c r="E7" s="54"/>
      <c r="F7" s="54"/>
      <c r="G7" s="54"/>
    </row>
    <row r="8" spans="2:22" customFormat="1" ht="15" customHeight="1">
      <c r="B8" s="1" t="s">
        <v>7</v>
      </c>
      <c r="C8" s="2"/>
      <c r="D8" s="80">
        <v>3124558600</v>
      </c>
      <c r="E8" s="80"/>
      <c r="F8" s="80"/>
      <c r="G8" s="80"/>
      <c r="I8" s="3" t="s">
        <v>48</v>
      </c>
      <c r="J8" s="2"/>
      <c r="K8" s="2"/>
      <c r="L8" s="79">
        <v>46022</v>
      </c>
      <c r="M8" s="79"/>
      <c r="N8" s="79"/>
      <c r="O8" s="79"/>
      <c r="P8" s="79"/>
      <c r="Q8" s="79"/>
    </row>
    <row r="9" spans="2:22" customFormat="1" ht="15" customHeight="1">
      <c r="B9" s="1" t="s">
        <v>9</v>
      </c>
      <c r="C9" s="2"/>
      <c r="D9" s="80">
        <v>3124211059</v>
      </c>
      <c r="E9" s="80"/>
      <c r="F9" s="80"/>
      <c r="G9" s="80"/>
      <c r="I9" s="3" t="s">
        <v>11</v>
      </c>
      <c r="J9" s="2"/>
      <c r="K9" s="2"/>
      <c r="L9" s="4">
        <v>2358</v>
      </c>
      <c r="M9" s="4"/>
      <c r="N9" s="4"/>
      <c r="O9" s="4"/>
      <c r="P9" s="4"/>
      <c r="Q9" s="4"/>
    </row>
    <row r="10" spans="2:22" customFormat="1" ht="15" customHeight="1">
      <c r="B10" s="1" t="s">
        <v>10</v>
      </c>
      <c r="C10" s="2"/>
      <c r="D10" s="61" t="s">
        <v>91</v>
      </c>
      <c r="E10" s="62"/>
      <c r="F10" s="62"/>
      <c r="G10" s="62"/>
      <c r="I10" s="3" t="s">
        <v>50</v>
      </c>
      <c r="L10" s="4">
        <v>0</v>
      </c>
    </row>
    <row r="11" spans="2:22" customFormat="1" ht="15" customHeight="1">
      <c r="B11" s="1" t="s">
        <v>10</v>
      </c>
      <c r="C11" s="2"/>
      <c r="D11" s="61" t="s">
        <v>92</v>
      </c>
      <c r="E11" s="62"/>
      <c r="F11" s="62"/>
      <c r="G11" s="62"/>
      <c r="I11" s="3" t="s">
        <v>51</v>
      </c>
      <c r="J11" s="2"/>
      <c r="K11" s="66" t="s">
        <v>85</v>
      </c>
      <c r="L11" s="66"/>
      <c r="M11" s="66"/>
      <c r="N11" s="66"/>
      <c r="O11" s="66"/>
      <c r="P11" s="66"/>
      <c r="Q11" s="66"/>
    </row>
    <row r="12" spans="2:22" customFormat="1" ht="15" customHeight="1">
      <c r="B12" s="1" t="s">
        <v>10</v>
      </c>
      <c r="C12" s="2"/>
      <c r="D12" s="61" t="s">
        <v>94</v>
      </c>
      <c r="E12" s="62"/>
      <c r="F12" s="62"/>
      <c r="G12" s="62"/>
      <c r="I12" s="3"/>
      <c r="J12" s="2"/>
      <c r="K12" s="4"/>
      <c r="L12" s="4"/>
      <c r="M12" s="4"/>
      <c r="N12" s="4"/>
      <c r="O12" s="4"/>
      <c r="P12" s="4"/>
      <c r="Q12" s="4"/>
    </row>
    <row r="13" spans="2:22" customFormat="1" ht="15" customHeight="1">
      <c r="B13" s="1" t="s">
        <v>10</v>
      </c>
      <c r="C13" s="2"/>
      <c r="D13" s="61" t="s">
        <v>95</v>
      </c>
      <c r="E13" s="62"/>
      <c r="F13" s="62"/>
      <c r="G13" s="62"/>
      <c r="I13" s="3"/>
      <c r="J13" s="2"/>
      <c r="K13" s="2"/>
      <c r="L13" s="4"/>
      <c r="M13" s="4"/>
      <c r="N13" s="4"/>
      <c r="O13" s="4"/>
      <c r="P13" s="4"/>
      <c r="Q13" s="4"/>
    </row>
    <row r="14" spans="2:22" s="5" customFormat="1" ht="36.75" customHeight="1">
      <c r="B14" s="6" t="s">
        <v>36</v>
      </c>
      <c r="C14" s="6"/>
      <c r="D14" s="5" t="s">
        <v>35</v>
      </c>
      <c r="E14" s="7" t="s">
        <v>14</v>
      </c>
      <c r="F14" s="7" t="s">
        <v>39</v>
      </c>
      <c r="G14" s="7" t="s">
        <v>40</v>
      </c>
      <c r="H14" s="8" t="s">
        <v>37</v>
      </c>
      <c r="I14" s="7" t="s">
        <v>54</v>
      </c>
      <c r="J14" s="5" t="s">
        <v>41</v>
      </c>
      <c r="L14" s="5" t="s">
        <v>38</v>
      </c>
      <c r="N14" s="5" t="s">
        <v>18</v>
      </c>
      <c r="O14" s="9" t="s">
        <v>55</v>
      </c>
      <c r="P14" s="5" t="s">
        <v>56</v>
      </c>
      <c r="R14" s="9"/>
      <c r="S14" s="9"/>
      <c r="T14" s="9"/>
      <c r="U14" s="9"/>
      <c r="V14" s="9"/>
    </row>
    <row r="15" spans="2:22" s="10" customFormat="1">
      <c r="B15" s="43">
        <v>1</v>
      </c>
      <c r="C15" s="44"/>
      <c r="D15" s="45">
        <v>46034</v>
      </c>
      <c r="E15" s="45">
        <v>46110</v>
      </c>
      <c r="F15" s="43">
        <v>5</v>
      </c>
      <c r="G15" s="46" t="s">
        <v>74</v>
      </c>
      <c r="H15" s="10" t="s">
        <v>75</v>
      </c>
      <c r="I15" s="43">
        <v>6</v>
      </c>
      <c r="J15" s="43" t="s">
        <v>33</v>
      </c>
      <c r="L15" s="43">
        <f>F15*I15</f>
        <v>30</v>
      </c>
      <c r="N15" s="43" t="s">
        <v>64</v>
      </c>
      <c r="O15" s="47">
        <v>36</v>
      </c>
      <c r="P15" s="47">
        <f>L15*O15</f>
        <v>1080</v>
      </c>
      <c r="R15" s="48"/>
      <c r="T15" s="48"/>
      <c r="U15" s="48"/>
      <c r="V15" s="48"/>
    </row>
    <row r="16" spans="2:22" s="10" customFormat="1">
      <c r="B16" s="43">
        <v>2</v>
      </c>
      <c r="C16" s="44"/>
      <c r="D16" s="45">
        <v>46034</v>
      </c>
      <c r="E16" s="45">
        <v>46110</v>
      </c>
      <c r="F16" s="43">
        <v>5</v>
      </c>
      <c r="G16" s="46" t="s">
        <v>74</v>
      </c>
      <c r="H16" s="10" t="s">
        <v>84</v>
      </c>
      <c r="I16" s="43">
        <v>6</v>
      </c>
      <c r="J16" s="43" t="s">
        <v>33</v>
      </c>
      <c r="L16" s="43">
        <f>F16*I16</f>
        <v>30</v>
      </c>
      <c r="N16" s="43" t="s">
        <v>64</v>
      </c>
      <c r="O16" s="47">
        <v>57</v>
      </c>
      <c r="P16" s="47">
        <f>L16*O16</f>
        <v>1710</v>
      </c>
      <c r="R16" s="48"/>
      <c r="T16" s="48"/>
      <c r="U16" s="48"/>
      <c r="V16" s="48"/>
    </row>
    <row r="17" spans="2:22" s="10" customFormat="1">
      <c r="B17" s="43">
        <v>3</v>
      </c>
      <c r="C17" s="44"/>
      <c r="D17" s="45">
        <v>46034</v>
      </c>
      <c r="E17" s="45">
        <v>46110</v>
      </c>
      <c r="F17" s="43">
        <v>5</v>
      </c>
      <c r="G17" s="46" t="s">
        <v>74</v>
      </c>
      <c r="H17" s="10" t="s">
        <v>154</v>
      </c>
      <c r="I17" s="43">
        <v>6</v>
      </c>
      <c r="J17" s="43" t="s">
        <v>33</v>
      </c>
      <c r="L17" s="43">
        <f>F17*I17</f>
        <v>30</v>
      </c>
      <c r="N17" s="43" t="s">
        <v>64</v>
      </c>
      <c r="O17" s="47">
        <v>46</v>
      </c>
      <c r="P17" s="47">
        <f>L17*O17</f>
        <v>1380</v>
      </c>
      <c r="R17" s="48"/>
      <c r="T17" s="48"/>
      <c r="U17" s="48"/>
      <c r="V17" s="48"/>
    </row>
    <row r="18" spans="2:22" s="10" customFormat="1">
      <c r="B18" s="43">
        <v>4</v>
      </c>
      <c r="C18" s="44"/>
      <c r="D18" s="45">
        <v>46034</v>
      </c>
      <c r="E18" s="45">
        <v>46110</v>
      </c>
      <c r="F18" s="43">
        <v>4</v>
      </c>
      <c r="G18" s="46" t="s">
        <v>74</v>
      </c>
      <c r="H18" s="10" t="s">
        <v>83</v>
      </c>
      <c r="I18" s="43">
        <v>6</v>
      </c>
      <c r="J18" s="43" t="s">
        <v>71</v>
      </c>
      <c r="L18" s="43">
        <f>F18*I18</f>
        <v>24</v>
      </c>
      <c r="N18" s="43" t="s">
        <v>64</v>
      </c>
      <c r="O18" s="47">
        <v>0</v>
      </c>
      <c r="P18" s="47">
        <f>L18*O18</f>
        <v>0</v>
      </c>
      <c r="R18" s="48"/>
      <c r="T18" s="48"/>
      <c r="U18" s="48"/>
      <c r="V18" s="48"/>
    </row>
    <row r="19" spans="2:22" s="10" customFormat="1">
      <c r="B19" s="43">
        <v>5</v>
      </c>
      <c r="C19" s="44"/>
      <c r="D19" s="45">
        <v>46034</v>
      </c>
      <c r="E19" s="45">
        <v>46110</v>
      </c>
      <c r="F19" s="43">
        <v>7</v>
      </c>
      <c r="G19" s="46" t="s">
        <v>74</v>
      </c>
      <c r="H19" s="10" t="s">
        <v>80</v>
      </c>
      <c r="I19" s="43">
        <v>6</v>
      </c>
      <c r="J19" s="43" t="s">
        <v>33</v>
      </c>
      <c r="L19" s="43">
        <f t="shared" ref="L19:L20" si="0">F19*I19</f>
        <v>42</v>
      </c>
      <c r="N19" s="43" t="s">
        <v>64</v>
      </c>
      <c r="O19" s="47">
        <v>46</v>
      </c>
      <c r="P19" s="47">
        <f t="shared" ref="P19:P20" si="1">L19*O19</f>
        <v>1932</v>
      </c>
      <c r="R19" s="48"/>
      <c r="T19" s="48"/>
      <c r="U19" s="48"/>
      <c r="V19" s="48"/>
    </row>
    <row r="20" spans="2:22" s="10" customFormat="1">
      <c r="B20" s="43">
        <v>6</v>
      </c>
      <c r="C20" s="44"/>
      <c r="D20" s="45">
        <v>46034</v>
      </c>
      <c r="E20" s="45">
        <v>46110</v>
      </c>
      <c r="F20" s="43">
        <v>7</v>
      </c>
      <c r="G20" s="46" t="s">
        <v>74</v>
      </c>
      <c r="H20" s="10" t="s">
        <v>81</v>
      </c>
      <c r="I20" s="43">
        <v>6</v>
      </c>
      <c r="J20" s="43" t="s">
        <v>33</v>
      </c>
      <c r="L20" s="43">
        <f t="shared" si="0"/>
        <v>42</v>
      </c>
      <c r="N20" s="43" t="s">
        <v>64</v>
      </c>
      <c r="O20" s="47">
        <v>37</v>
      </c>
      <c r="P20" s="47">
        <f t="shared" si="1"/>
        <v>1554</v>
      </c>
      <c r="R20" s="48"/>
      <c r="T20" s="48"/>
      <c r="U20" s="48"/>
      <c r="V20" s="48"/>
    </row>
    <row r="21" spans="2:22" s="10" customFormat="1">
      <c r="B21" s="43">
        <v>7</v>
      </c>
      <c r="C21" s="44"/>
      <c r="D21" s="45">
        <v>46034</v>
      </c>
      <c r="E21" s="45">
        <v>46110</v>
      </c>
      <c r="F21" s="43">
        <v>10</v>
      </c>
      <c r="G21" s="46" t="s">
        <v>74</v>
      </c>
      <c r="H21" s="10" t="s">
        <v>79</v>
      </c>
      <c r="I21" s="43">
        <v>6</v>
      </c>
      <c r="J21" s="43" t="s">
        <v>71</v>
      </c>
      <c r="L21" s="43">
        <f t="shared" ref="L21" si="2">F21*I21</f>
        <v>60</v>
      </c>
      <c r="N21" s="43" t="s">
        <v>64</v>
      </c>
      <c r="O21" s="47">
        <v>0</v>
      </c>
      <c r="P21" s="47">
        <f t="shared" ref="P21" si="3">L21*O21</f>
        <v>0</v>
      </c>
      <c r="R21" s="48"/>
      <c r="T21" s="48"/>
      <c r="U21" s="48"/>
      <c r="V21" s="48"/>
    </row>
    <row r="22" spans="2:22" s="10" customFormat="1" ht="15.75" thickBot="1">
      <c r="B22" s="43">
        <v>8</v>
      </c>
      <c r="C22" s="44"/>
      <c r="D22" s="45">
        <v>46034</v>
      </c>
      <c r="E22" s="45">
        <v>46110</v>
      </c>
      <c r="F22" s="43">
        <v>35</v>
      </c>
      <c r="G22" s="46" t="s">
        <v>155</v>
      </c>
      <c r="H22" s="10" t="s">
        <v>154</v>
      </c>
      <c r="I22" s="43">
        <v>1</v>
      </c>
      <c r="J22" s="43" t="s">
        <v>33</v>
      </c>
      <c r="L22" s="43">
        <f>F22*I22</f>
        <v>35</v>
      </c>
      <c r="N22" s="43" t="s">
        <v>64</v>
      </c>
      <c r="O22" s="47">
        <v>46</v>
      </c>
      <c r="P22" s="47">
        <f>L22*O22</f>
        <v>1610</v>
      </c>
      <c r="R22" s="48"/>
      <c r="T22" s="48"/>
      <c r="U22" s="48"/>
      <c r="V22" s="48"/>
    </row>
    <row r="23" spans="2:22" s="11" customFormat="1" ht="15" customHeight="1" thickTop="1">
      <c r="B23" s="12"/>
      <c r="C23" s="12"/>
      <c r="D23" s="13"/>
      <c r="E23" s="12"/>
      <c r="F23" s="12"/>
      <c r="G23" s="12"/>
      <c r="H23" s="14"/>
      <c r="I23" s="14" t="s">
        <v>52</v>
      </c>
      <c r="J23" s="15"/>
      <c r="K23" s="31"/>
      <c r="L23" s="36">
        <f>SUM(L15:L22)</f>
        <v>293</v>
      </c>
      <c r="M23" s="15"/>
      <c r="N23" s="15" t="s">
        <v>45</v>
      </c>
      <c r="O23" s="15"/>
      <c r="P23" s="16">
        <f>SUM(P15:P22)</f>
        <v>9266</v>
      </c>
      <c r="Q23" s="12"/>
    </row>
    <row r="24" spans="2:22" s="17" customFormat="1" ht="15" customHeight="1" thickBot="1">
      <c r="B24" s="69" t="s">
        <v>42</v>
      </c>
      <c r="C24" s="69"/>
      <c r="D24" s="69"/>
      <c r="E24" s="69"/>
      <c r="F24" s="69"/>
      <c r="G24" s="69"/>
      <c r="H24" s="19"/>
      <c r="I24" s="19" t="s">
        <v>44</v>
      </c>
      <c r="J24" s="20"/>
      <c r="K24" s="32"/>
      <c r="L24" s="34">
        <v>0.15</v>
      </c>
      <c r="M24" s="21"/>
      <c r="N24" s="21"/>
      <c r="O24" s="22"/>
      <c r="P24" s="23">
        <f>-1*(L24*P23)</f>
        <v>-1389.8999999999999</v>
      </c>
      <c r="Q24" s="24"/>
    </row>
    <row r="25" spans="2:22" s="17" customFormat="1" ht="15" customHeight="1" thickTop="1" thickBot="1">
      <c r="B25" s="70" t="s">
        <v>156</v>
      </c>
      <c r="C25" s="71"/>
      <c r="D25" s="71"/>
      <c r="E25" s="71"/>
      <c r="F25" s="71"/>
      <c r="G25" s="72"/>
      <c r="H25" s="3"/>
      <c r="I25" s="3" t="s">
        <v>53</v>
      </c>
      <c r="J25" s="18"/>
      <c r="K25" s="33"/>
      <c r="L25" s="25"/>
      <c r="M25" s="26"/>
      <c r="N25" s="26"/>
      <c r="O25" s="26"/>
      <c r="P25" s="27">
        <f>SUM(P23:P24)</f>
        <v>7876.1</v>
      </c>
      <c r="Q25" s="18"/>
    </row>
    <row r="26" spans="2:22" s="17" customFormat="1" ht="15" customHeight="1" thickTop="1">
      <c r="B26" s="73"/>
      <c r="C26" s="74"/>
      <c r="D26" s="74"/>
      <c r="E26" s="74"/>
      <c r="F26" s="74"/>
      <c r="G26" s="75"/>
      <c r="I26" s="18"/>
      <c r="J26" s="18"/>
      <c r="K26" s="18"/>
      <c r="L26" s="18"/>
      <c r="M26" s="18"/>
      <c r="N26" s="18"/>
      <c r="O26" s="18"/>
      <c r="P26" s="18"/>
      <c r="Q26" s="18"/>
    </row>
    <row r="27" spans="2:22" s="17" customFormat="1" ht="15" customHeight="1">
      <c r="B27" s="73"/>
      <c r="C27" s="74"/>
      <c r="D27" s="74"/>
      <c r="E27" s="74"/>
      <c r="F27" s="74"/>
      <c r="G27" s="75"/>
      <c r="I27" s="3" t="s">
        <v>47</v>
      </c>
      <c r="J27" s="18"/>
      <c r="K27" s="18"/>
      <c r="L27" s="35"/>
      <c r="M27" s="35"/>
      <c r="N27" s="35"/>
      <c r="O27" s="35"/>
      <c r="P27" s="35"/>
      <c r="Q27" s="18"/>
    </row>
    <row r="28" spans="2:22" s="17" customFormat="1" ht="15" customHeight="1">
      <c r="B28" s="73"/>
      <c r="C28" s="74"/>
      <c r="D28" s="74"/>
      <c r="E28" s="74"/>
      <c r="F28" s="74"/>
      <c r="G28" s="75"/>
      <c r="I28" s="3"/>
      <c r="J28" s="18"/>
      <c r="K28" s="18"/>
      <c r="L28" s="18"/>
      <c r="M28" s="18"/>
      <c r="N28" s="18"/>
      <c r="O28" s="18"/>
      <c r="P28" s="18"/>
      <c r="Q28" s="18"/>
    </row>
    <row r="29" spans="2:22" s="17" customFormat="1" ht="15" customHeight="1">
      <c r="B29" s="73"/>
      <c r="C29" s="74"/>
      <c r="D29" s="74"/>
      <c r="E29" s="74"/>
      <c r="F29" s="74"/>
      <c r="G29" s="75"/>
      <c r="I29" s="3" t="s">
        <v>46</v>
      </c>
      <c r="J29" s="18"/>
      <c r="K29" s="18"/>
      <c r="L29" s="35"/>
      <c r="M29" s="35"/>
      <c r="N29" s="35"/>
      <c r="O29" s="35"/>
      <c r="P29" s="35"/>
      <c r="Q29" s="18"/>
    </row>
    <row r="30" spans="2:22" s="17" customFormat="1" ht="15" customHeight="1">
      <c r="B30" s="76"/>
      <c r="C30" s="77"/>
      <c r="D30" s="77"/>
      <c r="E30" s="77"/>
      <c r="F30" s="77"/>
      <c r="G30" s="78"/>
      <c r="I30" s="30"/>
      <c r="J30" s="30"/>
      <c r="K30" s="30"/>
      <c r="L30" s="30"/>
      <c r="M30" s="30"/>
      <c r="N30" s="30"/>
      <c r="O30" s="30"/>
      <c r="P30" s="30"/>
      <c r="Q30" s="18"/>
    </row>
    <row r="31" spans="2:22" s="17" customFormat="1" ht="15" customHeight="1">
      <c r="I31" s="30"/>
      <c r="J31" s="30"/>
      <c r="K31" s="30"/>
      <c r="L31" s="30"/>
      <c r="M31" s="30"/>
      <c r="N31" s="30"/>
      <c r="O31" s="30"/>
      <c r="P31" s="30"/>
      <c r="Q31" s="18"/>
    </row>
    <row r="32" spans="2:22" s="17" customFormat="1" ht="15" customHeight="1">
      <c r="B32" s="63" t="s">
        <v>58</v>
      </c>
      <c r="C32" s="63"/>
      <c r="D32" s="63"/>
      <c r="E32" s="37"/>
      <c r="F32" s="37"/>
      <c r="G32" s="37"/>
      <c r="I32" s="30"/>
      <c r="J32" s="30"/>
      <c r="K32" s="30"/>
      <c r="L32" s="30"/>
      <c r="M32" s="30"/>
      <c r="N32" s="30"/>
      <c r="O32" s="30"/>
      <c r="P32" s="30"/>
      <c r="Q32" s="18"/>
    </row>
    <row r="33" spans="2:17" s="17" customFormat="1" ht="15" customHeight="1">
      <c r="B33" s="1"/>
      <c r="C33" s="1"/>
      <c r="D33" s="1"/>
      <c r="E33" s="37"/>
      <c r="F33" s="37"/>
      <c r="G33" s="37"/>
      <c r="I33" s="30"/>
      <c r="J33" s="30"/>
      <c r="K33" s="30"/>
      <c r="L33" s="30"/>
      <c r="M33" s="30"/>
      <c r="N33" s="30"/>
      <c r="O33" s="30"/>
      <c r="P33" s="30"/>
      <c r="Q33" s="18"/>
    </row>
    <row r="34" spans="2:17" s="17" customFormat="1" ht="15" customHeight="1">
      <c r="B34" s="1" t="s">
        <v>60</v>
      </c>
      <c r="C34" s="1"/>
      <c r="D34" s="42" t="s">
        <v>61</v>
      </c>
      <c r="E34" s="42" t="s">
        <v>62</v>
      </c>
      <c r="F34" s="1"/>
      <c r="G34" s="1"/>
      <c r="I34" s="30"/>
      <c r="J34" s="30"/>
      <c r="K34" s="30"/>
      <c r="L34" s="30"/>
      <c r="M34" s="30"/>
      <c r="N34" s="30"/>
      <c r="O34" s="30"/>
      <c r="P34" s="30"/>
      <c r="Q34" s="18"/>
    </row>
    <row r="35" spans="2:17" s="17" customFormat="1" ht="15" customHeight="1">
      <c r="B35" s="17" t="s">
        <v>157</v>
      </c>
      <c r="D35" s="57">
        <v>4656</v>
      </c>
      <c r="E35" s="57">
        <f>D35*0.85</f>
        <v>3957.6</v>
      </c>
      <c r="H35" s="10"/>
      <c r="I35" s="30"/>
      <c r="J35" s="30"/>
      <c r="K35" s="30"/>
      <c r="L35" s="30"/>
      <c r="M35" s="30"/>
      <c r="N35" s="30"/>
      <c r="O35" s="30"/>
      <c r="P35" s="30"/>
      <c r="Q35" s="18"/>
    </row>
    <row r="36" spans="2:17" s="17" customFormat="1" ht="15" customHeight="1">
      <c r="B36" s="17" t="s">
        <v>158</v>
      </c>
      <c r="D36" s="57">
        <v>0</v>
      </c>
      <c r="E36" s="57">
        <f t="shared" ref="E36:E37" si="4">D36*0.85</f>
        <v>0</v>
      </c>
      <c r="H36" s="10"/>
      <c r="I36" s="30"/>
      <c r="J36" s="30"/>
      <c r="K36" s="30"/>
      <c r="L36" s="30"/>
      <c r="M36" s="30"/>
      <c r="N36" s="30"/>
      <c r="O36" s="30"/>
      <c r="P36" s="30"/>
      <c r="Q36" s="18"/>
    </row>
    <row r="37" spans="2:17" s="17" customFormat="1" ht="15" customHeight="1" thickBot="1">
      <c r="B37" s="58" t="s">
        <v>159</v>
      </c>
      <c r="C37" s="58"/>
      <c r="D37" s="49">
        <v>4610</v>
      </c>
      <c r="E37" s="49">
        <f t="shared" si="4"/>
        <v>3918.5</v>
      </c>
      <c r="H37" s="10"/>
      <c r="I37" s="30"/>
      <c r="J37" s="30"/>
      <c r="K37" s="30"/>
      <c r="L37" s="30"/>
      <c r="M37" s="30"/>
      <c r="N37" s="30"/>
      <c r="O37" s="30"/>
      <c r="P37" s="30"/>
      <c r="Q37" s="18"/>
    </row>
    <row r="38" spans="2:17" s="17" customFormat="1" ht="15" customHeight="1" thickTop="1">
      <c r="B38" s="51" t="s">
        <v>59</v>
      </c>
      <c r="C38" s="18"/>
      <c r="D38" s="52">
        <f>SUM(D35:D37)</f>
        <v>9266</v>
      </c>
      <c r="E38" s="52">
        <f>SUM(E35:E37)</f>
        <v>7876.1</v>
      </c>
      <c r="F38" s="18"/>
      <c r="G38" s="18"/>
      <c r="H38" s="10"/>
      <c r="I38" s="18"/>
      <c r="J38" s="18"/>
      <c r="K38" s="18"/>
      <c r="L38" s="18"/>
      <c r="M38" s="18"/>
      <c r="N38" s="18"/>
      <c r="O38" s="18"/>
      <c r="P38" s="18"/>
      <c r="Q38" s="18"/>
    </row>
    <row r="39" spans="2:17" s="17" customFormat="1" ht="15" customHeight="1">
      <c r="B39" s="18"/>
      <c r="C39" s="18"/>
      <c r="D39" s="18"/>
      <c r="E39" s="18"/>
      <c r="F39" s="18"/>
      <c r="G39" s="18"/>
      <c r="H39" s="50"/>
      <c r="I39" s="18"/>
      <c r="J39" s="18"/>
      <c r="K39" s="18"/>
      <c r="L39" s="18"/>
      <c r="M39" s="18"/>
      <c r="N39" s="18"/>
      <c r="O39" s="18"/>
      <c r="P39" s="18"/>
      <c r="Q39" s="18"/>
    </row>
    <row r="40" spans="2:17" s="17" customFormat="1" ht="15" customHeight="1">
      <c r="B40" s="18"/>
      <c r="C40" s="18"/>
      <c r="D40" s="18"/>
      <c r="E40" s="18"/>
      <c r="F40" s="18"/>
      <c r="G40" s="18"/>
      <c r="H40" s="50"/>
      <c r="I40" s="18"/>
      <c r="J40" s="18"/>
      <c r="K40" s="18"/>
      <c r="L40" s="18"/>
      <c r="M40" s="18"/>
      <c r="N40" s="18"/>
      <c r="O40" s="18"/>
      <c r="P40" s="18"/>
      <c r="Q40" s="18"/>
    </row>
    <row r="41" spans="2:17" s="17" customFormat="1" ht="15" customHeight="1">
      <c r="B41" s="18"/>
      <c r="C41" s="18"/>
      <c r="D41" s="18"/>
      <c r="E41" s="18"/>
      <c r="F41" s="18"/>
      <c r="G41" s="18"/>
      <c r="H41" s="50"/>
      <c r="I41" s="18"/>
      <c r="J41" s="18"/>
      <c r="K41" s="18"/>
      <c r="L41" s="18"/>
      <c r="M41" s="18"/>
      <c r="N41" s="18"/>
      <c r="O41" s="18"/>
      <c r="P41" s="18"/>
      <c r="Q41" s="18"/>
    </row>
    <row r="42" spans="2:17" ht="15" customHeight="1">
      <c r="H42" s="50"/>
    </row>
    <row r="43" spans="2:17" ht="15" customHeight="1">
      <c r="H43" s="50"/>
    </row>
    <row r="44" spans="2:17" ht="15" customHeight="1">
      <c r="H44" s="50"/>
    </row>
  </sheetData>
  <dataConsolidate function="count">
    <dataRefs count="1">
      <dataRef ref="H13:H94" sheet="AdAsia-C" r:id="rId1"/>
    </dataRefs>
  </dataConsolidate>
  <mergeCells count="19">
    <mergeCell ref="L6:Q6"/>
    <mergeCell ref="D9:G9"/>
    <mergeCell ref="D11:G11"/>
    <mergeCell ref="D12:G12"/>
    <mergeCell ref="D13:G13"/>
    <mergeCell ref="D10:G10"/>
    <mergeCell ref="B32:D32"/>
    <mergeCell ref="F1:L1"/>
    <mergeCell ref="D3:G3"/>
    <mergeCell ref="L3:Q3"/>
    <mergeCell ref="D4:G4"/>
    <mergeCell ref="L4:Q4"/>
    <mergeCell ref="D6:E6"/>
    <mergeCell ref="L5:Q5"/>
    <mergeCell ref="B24:G24"/>
    <mergeCell ref="B25:G30"/>
    <mergeCell ref="K11:Q11"/>
    <mergeCell ref="L8:Q8"/>
    <mergeCell ref="D8:G8"/>
  </mergeCells>
  <phoneticPr fontId="0" type="noConversion"/>
  <hyperlinks>
    <hyperlink ref="D10" r:id="rId2" xr:uid="{FAFC32EE-F51F-4D0D-987A-9F1913F880FE}"/>
    <hyperlink ref="D11" r:id="rId3" xr:uid="{1295D2C9-375D-464E-8683-16A05B50C39E}"/>
    <hyperlink ref="D12" r:id="rId4" xr:uid="{8DC0B205-223D-4979-888D-474C110E1024}"/>
    <hyperlink ref="D13" r:id="rId5" xr:uid="{798BD21A-60B2-46D4-9EF6-33576CD75848}"/>
  </hyperlinks>
  <pageMargins left="0.7" right="0.7" top="0.75" bottom="0.75" header="0.3" footer="0.3"/>
  <pageSetup scale="82" fitToHeight="100"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4"/>
  <sheetViews>
    <sheetView tabSelected="1" zoomScaleNormal="100" workbookViewId="0">
      <pane ySplit="1" topLeftCell="A2" activePane="bottomLeft" state="frozen"/>
      <selection activeCell="M1" sqref="M1"/>
      <selection pane="bottomLeft" activeCell="A2" sqref="A2:AC294"/>
    </sheetView>
  </sheetViews>
  <sheetFormatPr defaultRowHeight="15"/>
  <cols>
    <col min="1" max="1" width="11.7109375" customWidth="1"/>
    <col min="2" max="2" width="8.7109375" bestFit="1" customWidth="1"/>
    <col min="3" max="3" width="8.85546875" bestFit="1" customWidth="1"/>
    <col min="4" max="4" width="10.42578125" customWidth="1"/>
    <col min="5" max="6" width="9.140625" bestFit="1" customWidth="1"/>
    <col min="7" max="7" width="7.140625" bestFit="1" customWidth="1"/>
    <col min="8" max="8" width="42.140625" customWidth="1"/>
    <col min="9" max="9" width="17.28515625" customWidth="1"/>
    <col min="10" max="10" width="5.5703125" bestFit="1" customWidth="1"/>
    <col min="11" max="11" width="7.28515625" bestFit="1" customWidth="1"/>
    <col min="12" max="12" width="5" bestFit="1" customWidth="1"/>
    <col min="13" max="13" width="11.140625" bestFit="1" customWidth="1"/>
    <col min="14" max="14" width="5.28515625" bestFit="1" customWidth="1"/>
    <col min="15" max="15" width="6.42578125" customWidth="1"/>
    <col min="16" max="16" width="12.5703125" customWidth="1"/>
    <col min="17" max="17" width="11.28515625" bestFit="1" customWidth="1"/>
    <col min="18" max="18" width="11" bestFit="1" customWidth="1"/>
    <col min="19" max="19" width="13.7109375" style="39" bestFit="1" customWidth="1"/>
    <col min="20" max="20" width="11.85546875" bestFit="1" customWidth="1"/>
    <col min="21" max="21" width="30" bestFit="1" customWidth="1"/>
    <col min="22" max="22" width="11.5703125" bestFit="1" customWidth="1"/>
    <col min="23" max="23" width="14.42578125" bestFit="1" customWidth="1"/>
    <col min="24" max="24" width="13.7109375" bestFit="1" customWidth="1"/>
    <col min="25" max="25" width="11.28515625" bestFit="1" customWidth="1"/>
    <col min="26" max="26" width="11.85546875" bestFit="1" customWidth="1"/>
    <col min="27" max="27" width="9.7109375" bestFit="1" customWidth="1"/>
    <col min="28" max="28" width="9.5703125" bestFit="1" customWidth="1"/>
    <col min="29" max="29" width="7.42578125" bestFit="1" customWidth="1"/>
  </cols>
  <sheetData>
    <row r="1" spans="1:29" s="5" customFormat="1" ht="20.25" customHeight="1">
      <c r="A1" s="5" t="s">
        <v>12</v>
      </c>
      <c r="B1" s="6" t="s">
        <v>13</v>
      </c>
      <c r="C1" s="6" t="s">
        <v>14</v>
      </c>
      <c r="D1" s="5" t="s">
        <v>15</v>
      </c>
      <c r="E1" s="7" t="s">
        <v>16</v>
      </c>
      <c r="F1" s="7" t="s">
        <v>17</v>
      </c>
      <c r="G1" s="7" t="s">
        <v>18</v>
      </c>
      <c r="H1" s="8" t="s">
        <v>19</v>
      </c>
      <c r="I1" s="7" t="s">
        <v>49</v>
      </c>
      <c r="J1" s="5" t="s">
        <v>20</v>
      </c>
      <c r="K1" s="5" t="s">
        <v>21</v>
      </c>
      <c r="L1" s="5" t="s">
        <v>22</v>
      </c>
      <c r="M1" s="5" t="s">
        <v>63</v>
      </c>
      <c r="N1" s="5" t="s">
        <v>23</v>
      </c>
      <c r="O1" s="5" t="s">
        <v>4</v>
      </c>
      <c r="P1" s="9" t="s">
        <v>43</v>
      </c>
      <c r="Q1" s="5" t="s">
        <v>24</v>
      </c>
      <c r="R1" s="9" t="s">
        <v>25</v>
      </c>
      <c r="S1" s="38" t="s">
        <v>60</v>
      </c>
      <c r="T1" s="9" t="s">
        <v>26</v>
      </c>
      <c r="U1" s="9" t="s">
        <v>72</v>
      </c>
      <c r="V1" s="9" t="s">
        <v>27</v>
      </c>
      <c r="W1" s="5" t="s">
        <v>28</v>
      </c>
      <c r="X1" s="5" t="s">
        <v>29</v>
      </c>
      <c r="Y1" s="5" t="s">
        <v>5</v>
      </c>
      <c r="Z1" s="5" t="s">
        <v>30</v>
      </c>
      <c r="AA1" s="5" t="s">
        <v>31</v>
      </c>
      <c r="AB1" s="9" t="s">
        <v>82</v>
      </c>
      <c r="AC1" s="5" t="s">
        <v>8</v>
      </c>
    </row>
    <row r="2" spans="1:29">
      <c r="A2" s="81" t="s">
        <v>93</v>
      </c>
      <c r="B2" s="84">
        <v>46034</v>
      </c>
      <c r="C2" s="83">
        <v>46034</v>
      </c>
      <c r="D2" s="85" t="s">
        <v>160</v>
      </c>
      <c r="E2" s="86">
        <v>0.25</v>
      </c>
      <c r="F2" s="86">
        <v>0.33333333333333331</v>
      </c>
      <c r="G2" s="86">
        <v>3.4722222222222218E-4</v>
      </c>
      <c r="H2" s="81" t="s">
        <v>180</v>
      </c>
      <c r="I2" s="87" t="s">
        <v>77</v>
      </c>
      <c r="J2" s="81" t="s">
        <v>78</v>
      </c>
      <c r="K2" s="82"/>
      <c r="L2" s="81">
        <v>1</v>
      </c>
      <c r="M2" s="81">
        <v>69718</v>
      </c>
      <c r="N2" s="81" t="s">
        <v>33</v>
      </c>
      <c r="O2" s="81" t="s">
        <v>161</v>
      </c>
      <c r="P2" s="88">
        <v>36</v>
      </c>
      <c r="Q2" s="82"/>
      <c r="R2" s="88">
        <v>36</v>
      </c>
      <c r="S2" s="89">
        <v>46023</v>
      </c>
      <c r="T2" s="88">
        <v>5.3999999999999995</v>
      </c>
      <c r="U2" s="90">
        <v>4</v>
      </c>
      <c r="V2" s="88">
        <v>30.6</v>
      </c>
      <c r="W2" s="81" t="s">
        <v>85</v>
      </c>
      <c r="X2" s="81" t="s">
        <v>76</v>
      </c>
      <c r="Y2" s="81" t="s">
        <v>6</v>
      </c>
      <c r="Z2" s="81" t="s">
        <v>57</v>
      </c>
      <c r="AA2" s="81" t="s">
        <v>32</v>
      </c>
      <c r="AB2" s="90" t="s">
        <v>162</v>
      </c>
      <c r="AC2" s="81" t="s">
        <v>65</v>
      </c>
    </row>
    <row r="3" spans="1:29">
      <c r="A3" s="81" t="s">
        <v>93</v>
      </c>
      <c r="B3" s="84">
        <v>46035</v>
      </c>
      <c r="C3" s="83">
        <v>46035</v>
      </c>
      <c r="D3" s="85" t="s">
        <v>163</v>
      </c>
      <c r="E3" s="86">
        <v>0.25</v>
      </c>
      <c r="F3" s="86">
        <v>0.33333333333333331</v>
      </c>
      <c r="G3" s="86">
        <v>3.4722222222222218E-4</v>
      </c>
      <c r="H3" s="81" t="s">
        <v>180</v>
      </c>
      <c r="I3" s="87" t="s">
        <v>77</v>
      </c>
      <c r="J3" s="81" t="s">
        <v>78</v>
      </c>
      <c r="K3" s="82"/>
      <c r="L3" s="81">
        <v>1</v>
      </c>
      <c r="M3" s="81">
        <v>69718</v>
      </c>
      <c r="N3" s="81" t="s">
        <v>33</v>
      </c>
      <c r="O3" s="81" t="s">
        <v>161</v>
      </c>
      <c r="P3" s="88">
        <v>36</v>
      </c>
      <c r="Q3" s="82"/>
      <c r="R3" s="88">
        <v>36</v>
      </c>
      <c r="S3" s="89">
        <v>46023</v>
      </c>
      <c r="T3" s="88">
        <v>5.3999999999999995</v>
      </c>
      <c r="U3" s="90">
        <v>4</v>
      </c>
      <c r="V3" s="88">
        <v>30.6</v>
      </c>
      <c r="W3" s="81" t="s">
        <v>85</v>
      </c>
      <c r="X3" s="81" t="s">
        <v>76</v>
      </c>
      <c r="Y3" s="81" t="s">
        <v>6</v>
      </c>
      <c r="Z3" s="81" t="s">
        <v>57</v>
      </c>
      <c r="AA3" s="81" t="s">
        <v>32</v>
      </c>
      <c r="AB3" s="90" t="s">
        <v>162</v>
      </c>
      <c r="AC3" s="81" t="s">
        <v>65</v>
      </c>
    </row>
    <row r="4" spans="1:29">
      <c r="A4" s="81" t="s">
        <v>93</v>
      </c>
      <c r="B4" s="84">
        <v>46041</v>
      </c>
      <c r="C4" s="83">
        <v>46041</v>
      </c>
      <c r="D4" s="85" t="s">
        <v>160</v>
      </c>
      <c r="E4" s="86">
        <v>0.25</v>
      </c>
      <c r="F4" s="86">
        <v>0.33333333333333331</v>
      </c>
      <c r="G4" s="86">
        <v>3.4722222222222218E-4</v>
      </c>
      <c r="H4" s="81" t="s">
        <v>180</v>
      </c>
      <c r="I4" s="87" t="s">
        <v>77</v>
      </c>
      <c r="J4" s="81" t="s">
        <v>78</v>
      </c>
      <c r="K4" s="82"/>
      <c r="L4" s="81">
        <v>1</v>
      </c>
      <c r="M4" s="81">
        <v>69718</v>
      </c>
      <c r="N4" s="81" t="s">
        <v>33</v>
      </c>
      <c r="O4" s="81" t="s">
        <v>161</v>
      </c>
      <c r="P4" s="88">
        <v>36</v>
      </c>
      <c r="Q4" s="82"/>
      <c r="R4" s="88">
        <v>36</v>
      </c>
      <c r="S4" s="89">
        <v>46023</v>
      </c>
      <c r="T4" s="88">
        <v>5.3999999999999995</v>
      </c>
      <c r="U4" s="90">
        <v>4</v>
      </c>
      <c r="V4" s="88">
        <v>30.6</v>
      </c>
      <c r="W4" s="81" t="s">
        <v>85</v>
      </c>
      <c r="X4" s="81" t="s">
        <v>76</v>
      </c>
      <c r="Y4" s="81" t="s">
        <v>6</v>
      </c>
      <c r="Z4" s="81" t="s">
        <v>57</v>
      </c>
      <c r="AA4" s="81" t="s">
        <v>32</v>
      </c>
      <c r="AB4" s="90" t="s">
        <v>162</v>
      </c>
      <c r="AC4" s="81" t="s">
        <v>65</v>
      </c>
    </row>
    <row r="5" spans="1:29">
      <c r="A5" s="81" t="s">
        <v>93</v>
      </c>
      <c r="B5" s="84">
        <v>46034</v>
      </c>
      <c r="C5" s="83">
        <v>46034</v>
      </c>
      <c r="D5" s="85" t="s">
        <v>160</v>
      </c>
      <c r="E5" s="86">
        <v>0.25</v>
      </c>
      <c r="F5" s="86">
        <v>0.33333333333333331</v>
      </c>
      <c r="G5" s="86">
        <v>3.4722222222222218E-4</v>
      </c>
      <c r="H5" s="81" t="s">
        <v>180</v>
      </c>
      <c r="I5" s="87" t="s">
        <v>97</v>
      </c>
      <c r="J5" s="81" t="s">
        <v>78</v>
      </c>
      <c r="K5" s="81"/>
      <c r="L5" s="81">
        <v>1</v>
      </c>
      <c r="M5" s="81">
        <v>69718</v>
      </c>
      <c r="N5" s="81" t="s">
        <v>33</v>
      </c>
      <c r="O5" s="81" t="s">
        <v>161</v>
      </c>
      <c r="P5" s="91">
        <v>36</v>
      </c>
      <c r="Q5" s="81"/>
      <c r="R5" s="91">
        <v>36</v>
      </c>
      <c r="S5" s="89">
        <v>46023</v>
      </c>
      <c r="T5" s="91">
        <v>5.3999999999999995</v>
      </c>
      <c r="U5" s="90">
        <v>4</v>
      </c>
      <c r="V5" s="91">
        <v>30.6</v>
      </c>
      <c r="W5" s="81" t="s">
        <v>85</v>
      </c>
      <c r="X5" s="81" t="s">
        <v>76</v>
      </c>
      <c r="Y5" s="81" t="s">
        <v>6</v>
      </c>
      <c r="Z5" s="81" t="s">
        <v>57</v>
      </c>
      <c r="AA5" s="81" t="s">
        <v>32</v>
      </c>
      <c r="AB5" s="90" t="s">
        <v>162</v>
      </c>
      <c r="AC5" s="81" t="s">
        <v>65</v>
      </c>
    </row>
    <row r="6" spans="1:29">
      <c r="A6" s="81" t="s">
        <v>93</v>
      </c>
      <c r="B6" s="84">
        <v>46035</v>
      </c>
      <c r="C6" s="83">
        <v>46035</v>
      </c>
      <c r="D6" s="85" t="s">
        <v>163</v>
      </c>
      <c r="E6" s="86">
        <v>0.25</v>
      </c>
      <c r="F6" s="86">
        <v>0.33333333333333331</v>
      </c>
      <c r="G6" s="86">
        <v>3.4722222222222218E-4</v>
      </c>
      <c r="H6" s="81" t="s">
        <v>180</v>
      </c>
      <c r="I6" s="87" t="s">
        <v>97</v>
      </c>
      <c r="J6" s="81" t="s">
        <v>78</v>
      </c>
      <c r="K6" s="81"/>
      <c r="L6" s="81">
        <v>1</v>
      </c>
      <c r="M6" s="81">
        <v>69718</v>
      </c>
      <c r="N6" s="81" t="s">
        <v>33</v>
      </c>
      <c r="O6" s="81" t="s">
        <v>161</v>
      </c>
      <c r="P6" s="91">
        <v>36</v>
      </c>
      <c r="Q6" s="81"/>
      <c r="R6" s="91">
        <v>36</v>
      </c>
      <c r="S6" s="89">
        <v>46023</v>
      </c>
      <c r="T6" s="91">
        <v>5.3999999999999995</v>
      </c>
      <c r="U6" s="90">
        <v>4</v>
      </c>
      <c r="V6" s="91">
        <v>30.6</v>
      </c>
      <c r="W6" s="81" t="s">
        <v>85</v>
      </c>
      <c r="X6" s="81" t="s">
        <v>76</v>
      </c>
      <c r="Y6" s="81" t="s">
        <v>6</v>
      </c>
      <c r="Z6" s="81" t="s">
        <v>57</v>
      </c>
      <c r="AA6" s="81" t="s">
        <v>32</v>
      </c>
      <c r="AB6" s="90" t="s">
        <v>162</v>
      </c>
      <c r="AC6" s="81" t="s">
        <v>65</v>
      </c>
    </row>
    <row r="7" spans="1:29">
      <c r="A7" s="81" t="s">
        <v>93</v>
      </c>
      <c r="B7" s="84">
        <v>46045</v>
      </c>
      <c r="C7" s="83">
        <v>46045</v>
      </c>
      <c r="D7" s="85" t="s">
        <v>166</v>
      </c>
      <c r="E7" s="86">
        <v>0.25</v>
      </c>
      <c r="F7" s="86">
        <v>0.33333333333333331</v>
      </c>
      <c r="G7" s="86">
        <v>3.4722222222222218E-4</v>
      </c>
      <c r="H7" s="81" t="s">
        <v>180</v>
      </c>
      <c r="I7" s="87" t="s">
        <v>97</v>
      </c>
      <c r="J7" s="81" t="s">
        <v>78</v>
      </c>
      <c r="K7" s="81"/>
      <c r="L7" s="81">
        <v>1</v>
      </c>
      <c r="M7" s="81">
        <v>69718</v>
      </c>
      <c r="N7" s="81" t="s">
        <v>33</v>
      </c>
      <c r="O7" s="81" t="s">
        <v>161</v>
      </c>
      <c r="P7" s="91">
        <v>36</v>
      </c>
      <c r="Q7" s="81"/>
      <c r="R7" s="91">
        <v>36</v>
      </c>
      <c r="S7" s="89">
        <v>46023</v>
      </c>
      <c r="T7" s="91">
        <v>5.3999999999999995</v>
      </c>
      <c r="U7" s="90">
        <v>4</v>
      </c>
      <c r="V7" s="91">
        <v>30.6</v>
      </c>
      <c r="W7" s="81" t="s">
        <v>85</v>
      </c>
      <c r="X7" s="81" t="s">
        <v>76</v>
      </c>
      <c r="Y7" s="81" t="s">
        <v>6</v>
      </c>
      <c r="Z7" s="81" t="s">
        <v>57</v>
      </c>
      <c r="AA7" s="81" t="s">
        <v>32</v>
      </c>
      <c r="AB7" s="90" t="s">
        <v>162</v>
      </c>
      <c r="AC7" s="81" t="s">
        <v>65</v>
      </c>
    </row>
    <row r="8" spans="1:29">
      <c r="A8" s="81" t="s">
        <v>93</v>
      </c>
      <c r="B8" s="84">
        <v>46041</v>
      </c>
      <c r="C8" s="83">
        <v>46041</v>
      </c>
      <c r="D8" s="85" t="s">
        <v>160</v>
      </c>
      <c r="E8" s="86">
        <v>0.25</v>
      </c>
      <c r="F8" s="86">
        <v>0.33333333333333331</v>
      </c>
      <c r="G8" s="86">
        <v>3.4722222222222218E-4</v>
      </c>
      <c r="H8" s="81" t="s">
        <v>180</v>
      </c>
      <c r="I8" s="87" t="s">
        <v>98</v>
      </c>
      <c r="J8" s="81" t="s">
        <v>78</v>
      </c>
      <c r="K8" s="81"/>
      <c r="L8" s="81">
        <v>1</v>
      </c>
      <c r="M8" s="81">
        <v>69718</v>
      </c>
      <c r="N8" s="81" t="s">
        <v>33</v>
      </c>
      <c r="O8" s="81" t="s">
        <v>161</v>
      </c>
      <c r="P8" s="91">
        <v>36</v>
      </c>
      <c r="Q8" s="81"/>
      <c r="R8" s="91">
        <v>36</v>
      </c>
      <c r="S8" s="89">
        <v>46023</v>
      </c>
      <c r="T8" s="91">
        <v>5.3999999999999995</v>
      </c>
      <c r="U8" s="90">
        <v>4</v>
      </c>
      <c r="V8" s="91">
        <v>30.6</v>
      </c>
      <c r="W8" s="81" t="s">
        <v>85</v>
      </c>
      <c r="X8" s="81" t="s">
        <v>76</v>
      </c>
      <c r="Y8" s="81" t="s">
        <v>6</v>
      </c>
      <c r="Z8" s="81" t="s">
        <v>57</v>
      </c>
      <c r="AA8" s="81" t="s">
        <v>32</v>
      </c>
      <c r="AB8" s="90" t="s">
        <v>162</v>
      </c>
      <c r="AC8" s="81" t="s">
        <v>65</v>
      </c>
    </row>
    <row r="9" spans="1:29">
      <c r="A9" s="81" t="s">
        <v>93</v>
      </c>
      <c r="B9" s="84">
        <v>46035</v>
      </c>
      <c r="C9" s="83">
        <v>46035</v>
      </c>
      <c r="D9" s="85" t="s">
        <v>163</v>
      </c>
      <c r="E9" s="86">
        <v>0.25</v>
      </c>
      <c r="F9" s="86">
        <v>0.33333333333333331</v>
      </c>
      <c r="G9" s="86">
        <v>3.4722222222222218E-4</v>
      </c>
      <c r="H9" s="81" t="s">
        <v>180</v>
      </c>
      <c r="I9" s="87" t="s">
        <v>100</v>
      </c>
      <c r="J9" s="81" t="s">
        <v>78</v>
      </c>
      <c r="K9" s="81"/>
      <c r="L9" s="81">
        <v>1</v>
      </c>
      <c r="M9" s="81">
        <v>69718</v>
      </c>
      <c r="N9" s="81" t="s">
        <v>33</v>
      </c>
      <c r="O9" s="81" t="s">
        <v>161</v>
      </c>
      <c r="P9" s="91">
        <v>36</v>
      </c>
      <c r="Q9" s="81"/>
      <c r="R9" s="91">
        <v>36</v>
      </c>
      <c r="S9" s="89">
        <v>46023</v>
      </c>
      <c r="T9" s="91">
        <v>5.3999999999999995</v>
      </c>
      <c r="U9" s="90">
        <v>4</v>
      </c>
      <c r="V9" s="91">
        <v>30.6</v>
      </c>
      <c r="W9" s="81" t="s">
        <v>85</v>
      </c>
      <c r="X9" s="81" t="s">
        <v>76</v>
      </c>
      <c r="Y9" s="81" t="s">
        <v>6</v>
      </c>
      <c r="Z9" s="81" t="s">
        <v>57</v>
      </c>
      <c r="AA9" s="81" t="s">
        <v>32</v>
      </c>
      <c r="AB9" s="90" t="s">
        <v>162</v>
      </c>
      <c r="AC9" s="81" t="s">
        <v>65</v>
      </c>
    </row>
    <row r="10" spans="1:29">
      <c r="A10" s="81" t="s">
        <v>93</v>
      </c>
      <c r="B10" s="84">
        <v>46045</v>
      </c>
      <c r="C10" s="83">
        <v>46045</v>
      </c>
      <c r="D10" s="85" t="s">
        <v>166</v>
      </c>
      <c r="E10" s="86">
        <v>0.25</v>
      </c>
      <c r="F10" s="86">
        <v>0.33333333333333331</v>
      </c>
      <c r="G10" s="86">
        <v>3.4722222222222218E-4</v>
      </c>
      <c r="H10" s="81" t="s">
        <v>180</v>
      </c>
      <c r="I10" s="87" t="s">
        <v>100</v>
      </c>
      <c r="J10" s="81" t="s">
        <v>78</v>
      </c>
      <c r="K10" s="81"/>
      <c r="L10" s="81">
        <v>1</v>
      </c>
      <c r="M10" s="81">
        <v>69718</v>
      </c>
      <c r="N10" s="81" t="s">
        <v>33</v>
      </c>
      <c r="O10" s="81" t="s">
        <v>161</v>
      </c>
      <c r="P10" s="91">
        <v>36</v>
      </c>
      <c r="Q10" s="81"/>
      <c r="R10" s="91">
        <v>36</v>
      </c>
      <c r="S10" s="89">
        <v>46023</v>
      </c>
      <c r="T10" s="91">
        <v>5.3999999999999995</v>
      </c>
      <c r="U10" s="90">
        <v>4</v>
      </c>
      <c r="V10" s="91">
        <v>30.6</v>
      </c>
      <c r="W10" s="81" t="s">
        <v>85</v>
      </c>
      <c r="X10" s="81" t="s">
        <v>76</v>
      </c>
      <c r="Y10" s="81" t="s">
        <v>6</v>
      </c>
      <c r="Z10" s="81" t="s">
        <v>57</v>
      </c>
      <c r="AA10" s="81" t="s">
        <v>32</v>
      </c>
      <c r="AB10" s="90" t="s">
        <v>162</v>
      </c>
      <c r="AC10" s="81" t="s">
        <v>65</v>
      </c>
    </row>
    <row r="11" spans="1:29">
      <c r="A11" s="81" t="s">
        <v>93</v>
      </c>
      <c r="B11" s="84">
        <v>46034</v>
      </c>
      <c r="C11" s="83">
        <v>46034</v>
      </c>
      <c r="D11" s="85" t="s">
        <v>160</v>
      </c>
      <c r="E11" s="86">
        <v>0.25</v>
      </c>
      <c r="F11" s="86">
        <v>0.33333333333333331</v>
      </c>
      <c r="G11" s="86">
        <v>3.4722222222222218E-4</v>
      </c>
      <c r="H11" s="81" t="s">
        <v>180</v>
      </c>
      <c r="I11" s="87" t="s">
        <v>101</v>
      </c>
      <c r="J11" s="81" t="s">
        <v>78</v>
      </c>
      <c r="K11" s="81"/>
      <c r="L11" s="81">
        <v>1</v>
      </c>
      <c r="M11" s="81">
        <v>69718</v>
      </c>
      <c r="N11" s="81" t="s">
        <v>33</v>
      </c>
      <c r="O11" s="81" t="s">
        <v>161</v>
      </c>
      <c r="P11" s="91">
        <v>36</v>
      </c>
      <c r="Q11" s="81"/>
      <c r="R11" s="91">
        <v>36</v>
      </c>
      <c r="S11" s="89">
        <v>46023</v>
      </c>
      <c r="T11" s="91">
        <v>5.3999999999999995</v>
      </c>
      <c r="U11" s="90">
        <v>4</v>
      </c>
      <c r="V11" s="91">
        <v>30.6</v>
      </c>
      <c r="W11" s="81" t="s">
        <v>85</v>
      </c>
      <c r="X11" s="81" t="s">
        <v>76</v>
      </c>
      <c r="Y11" s="81" t="s">
        <v>6</v>
      </c>
      <c r="Z11" s="81" t="s">
        <v>57</v>
      </c>
      <c r="AA11" s="81" t="s">
        <v>32</v>
      </c>
      <c r="AB11" s="90" t="s">
        <v>162</v>
      </c>
      <c r="AC11" s="81" t="s">
        <v>65</v>
      </c>
    </row>
    <row r="12" spans="1:29">
      <c r="A12" s="81" t="s">
        <v>93</v>
      </c>
      <c r="B12" s="84">
        <v>46041</v>
      </c>
      <c r="C12" s="83">
        <v>46041</v>
      </c>
      <c r="D12" s="85" t="s">
        <v>160</v>
      </c>
      <c r="E12" s="86">
        <v>0.25</v>
      </c>
      <c r="F12" s="86">
        <v>0.33333333333333331</v>
      </c>
      <c r="G12" s="86">
        <v>3.4722222222222218E-4</v>
      </c>
      <c r="H12" s="81" t="s">
        <v>180</v>
      </c>
      <c r="I12" s="87" t="s">
        <v>101</v>
      </c>
      <c r="J12" s="81" t="s">
        <v>78</v>
      </c>
      <c r="K12" s="81"/>
      <c r="L12" s="81">
        <v>1</v>
      </c>
      <c r="M12" s="81">
        <v>69718</v>
      </c>
      <c r="N12" s="81" t="s">
        <v>33</v>
      </c>
      <c r="O12" s="81" t="s">
        <v>161</v>
      </c>
      <c r="P12" s="91">
        <v>36</v>
      </c>
      <c r="Q12" s="81"/>
      <c r="R12" s="91">
        <v>36</v>
      </c>
      <c r="S12" s="89">
        <v>46023</v>
      </c>
      <c r="T12" s="91">
        <v>5.3999999999999995</v>
      </c>
      <c r="U12" s="90">
        <v>4</v>
      </c>
      <c r="V12" s="91">
        <v>30.6</v>
      </c>
      <c r="W12" s="81" t="s">
        <v>85</v>
      </c>
      <c r="X12" s="81" t="s">
        <v>76</v>
      </c>
      <c r="Y12" s="81" t="s">
        <v>6</v>
      </c>
      <c r="Z12" s="81" t="s">
        <v>57</v>
      </c>
      <c r="AA12" s="81" t="s">
        <v>32</v>
      </c>
      <c r="AB12" s="90" t="s">
        <v>162</v>
      </c>
      <c r="AC12" s="81" t="s">
        <v>65</v>
      </c>
    </row>
    <row r="13" spans="1:29">
      <c r="A13" s="81" t="s">
        <v>93</v>
      </c>
      <c r="B13" s="84">
        <v>46045</v>
      </c>
      <c r="C13" s="83">
        <v>46045</v>
      </c>
      <c r="D13" s="85" t="s">
        <v>166</v>
      </c>
      <c r="E13" s="86">
        <v>0.25</v>
      </c>
      <c r="F13" s="86">
        <v>0.33333333333333331</v>
      </c>
      <c r="G13" s="86">
        <v>3.4722222222222218E-4</v>
      </c>
      <c r="H13" s="81" t="s">
        <v>180</v>
      </c>
      <c r="I13" s="87" t="s">
        <v>103</v>
      </c>
      <c r="J13" s="81" t="s">
        <v>78</v>
      </c>
      <c r="K13" s="81"/>
      <c r="L13" s="81">
        <v>1</v>
      </c>
      <c r="M13" s="81">
        <v>69718</v>
      </c>
      <c r="N13" s="81" t="s">
        <v>33</v>
      </c>
      <c r="O13" s="81" t="s">
        <v>161</v>
      </c>
      <c r="P13" s="91">
        <v>36</v>
      </c>
      <c r="Q13" s="81"/>
      <c r="R13" s="91">
        <v>36</v>
      </c>
      <c r="S13" s="89">
        <v>46023</v>
      </c>
      <c r="T13" s="91">
        <v>5.3999999999999995</v>
      </c>
      <c r="U13" s="90">
        <v>4</v>
      </c>
      <c r="V13" s="91">
        <v>30.6</v>
      </c>
      <c r="W13" s="81" t="s">
        <v>85</v>
      </c>
      <c r="X13" s="81" t="s">
        <v>76</v>
      </c>
      <c r="Y13" s="81" t="s">
        <v>6</v>
      </c>
      <c r="Z13" s="81" t="s">
        <v>57</v>
      </c>
      <c r="AA13" s="81" t="s">
        <v>32</v>
      </c>
      <c r="AB13" s="90" t="s">
        <v>162</v>
      </c>
      <c r="AC13" s="81" t="s">
        <v>65</v>
      </c>
    </row>
    <row r="14" spans="1:29">
      <c r="A14" s="81" t="s">
        <v>93</v>
      </c>
      <c r="B14" s="84">
        <v>46034</v>
      </c>
      <c r="C14" s="83">
        <v>46034</v>
      </c>
      <c r="D14" s="85" t="s">
        <v>160</v>
      </c>
      <c r="E14" s="86">
        <v>0.25</v>
      </c>
      <c r="F14" s="86">
        <v>0.33333333333333331</v>
      </c>
      <c r="G14" s="86">
        <v>3.4722222222222218E-4</v>
      </c>
      <c r="H14" s="81" t="s">
        <v>180</v>
      </c>
      <c r="I14" s="87" t="s">
        <v>104</v>
      </c>
      <c r="J14" s="81" t="s">
        <v>78</v>
      </c>
      <c r="K14" s="81"/>
      <c r="L14" s="81">
        <v>1</v>
      </c>
      <c r="M14" s="81">
        <v>69718</v>
      </c>
      <c r="N14" s="81" t="s">
        <v>33</v>
      </c>
      <c r="O14" s="81" t="s">
        <v>161</v>
      </c>
      <c r="P14" s="91">
        <v>36</v>
      </c>
      <c r="Q14" s="81"/>
      <c r="R14" s="91">
        <v>36</v>
      </c>
      <c r="S14" s="89">
        <v>46023</v>
      </c>
      <c r="T14" s="91">
        <v>5.3999999999999995</v>
      </c>
      <c r="U14" s="90">
        <v>4</v>
      </c>
      <c r="V14" s="91">
        <v>30.6</v>
      </c>
      <c r="W14" s="81" t="s">
        <v>85</v>
      </c>
      <c r="X14" s="81" t="s">
        <v>76</v>
      </c>
      <c r="Y14" s="81" t="s">
        <v>6</v>
      </c>
      <c r="Z14" s="81" t="s">
        <v>57</v>
      </c>
      <c r="AA14" s="81" t="s">
        <v>32</v>
      </c>
      <c r="AB14" s="90" t="s">
        <v>162</v>
      </c>
      <c r="AC14" s="81" t="s">
        <v>65</v>
      </c>
    </row>
    <row r="15" spans="1:29">
      <c r="A15" s="81" t="s">
        <v>93</v>
      </c>
      <c r="B15" s="84">
        <v>46035</v>
      </c>
      <c r="C15" s="83">
        <v>46035</v>
      </c>
      <c r="D15" s="85" t="s">
        <v>163</v>
      </c>
      <c r="E15" s="86">
        <v>0.25</v>
      </c>
      <c r="F15" s="86">
        <v>0.33333333333333331</v>
      </c>
      <c r="G15" s="86">
        <v>3.4722222222222218E-4</v>
      </c>
      <c r="H15" s="81" t="s">
        <v>180</v>
      </c>
      <c r="I15" s="87" t="s">
        <v>104</v>
      </c>
      <c r="J15" s="81" t="s">
        <v>78</v>
      </c>
      <c r="K15" s="81"/>
      <c r="L15" s="81">
        <v>1</v>
      </c>
      <c r="M15" s="81">
        <v>69718</v>
      </c>
      <c r="N15" s="81" t="s">
        <v>33</v>
      </c>
      <c r="O15" s="81" t="s">
        <v>161</v>
      </c>
      <c r="P15" s="91">
        <v>36</v>
      </c>
      <c r="Q15" s="81"/>
      <c r="R15" s="91">
        <v>36</v>
      </c>
      <c r="S15" s="89">
        <v>46023</v>
      </c>
      <c r="T15" s="91">
        <v>5.3999999999999995</v>
      </c>
      <c r="U15" s="90">
        <v>4</v>
      </c>
      <c r="V15" s="91">
        <v>30.6</v>
      </c>
      <c r="W15" s="81" t="s">
        <v>85</v>
      </c>
      <c r="X15" s="81" t="s">
        <v>76</v>
      </c>
      <c r="Y15" s="81" t="s">
        <v>6</v>
      </c>
      <c r="Z15" s="81" t="s">
        <v>57</v>
      </c>
      <c r="AA15" s="81" t="s">
        <v>32</v>
      </c>
      <c r="AB15" s="90" t="s">
        <v>162</v>
      </c>
      <c r="AC15" s="81" t="s">
        <v>65</v>
      </c>
    </row>
    <row r="16" spans="1:29">
      <c r="A16" s="81" t="s">
        <v>93</v>
      </c>
      <c r="B16" s="84">
        <v>46041</v>
      </c>
      <c r="C16" s="83">
        <v>46041</v>
      </c>
      <c r="D16" s="85" t="s">
        <v>160</v>
      </c>
      <c r="E16" s="86">
        <v>0.25</v>
      </c>
      <c r="F16" s="86">
        <v>0.33333333333333331</v>
      </c>
      <c r="G16" s="86">
        <v>3.4722222222222218E-4</v>
      </c>
      <c r="H16" s="81" t="s">
        <v>180</v>
      </c>
      <c r="I16" s="87" t="s">
        <v>104</v>
      </c>
      <c r="J16" s="81" t="s">
        <v>78</v>
      </c>
      <c r="K16" s="81"/>
      <c r="L16" s="81">
        <v>1</v>
      </c>
      <c r="M16" s="81">
        <v>69718</v>
      </c>
      <c r="N16" s="81" t="s">
        <v>33</v>
      </c>
      <c r="O16" s="81" t="s">
        <v>161</v>
      </c>
      <c r="P16" s="91">
        <v>36</v>
      </c>
      <c r="Q16" s="81"/>
      <c r="R16" s="91">
        <v>36</v>
      </c>
      <c r="S16" s="89">
        <v>46023</v>
      </c>
      <c r="T16" s="91">
        <v>5.3999999999999995</v>
      </c>
      <c r="U16" s="90">
        <v>4</v>
      </c>
      <c r="V16" s="91">
        <v>30.6</v>
      </c>
      <c r="W16" s="81" t="s">
        <v>85</v>
      </c>
      <c r="X16" s="81" t="s">
        <v>76</v>
      </c>
      <c r="Y16" s="81" t="s">
        <v>6</v>
      </c>
      <c r="Z16" s="81" t="s">
        <v>57</v>
      </c>
      <c r="AA16" s="81" t="s">
        <v>32</v>
      </c>
      <c r="AB16" s="90" t="s">
        <v>162</v>
      </c>
      <c r="AC16" s="81" t="s">
        <v>65</v>
      </c>
    </row>
    <row r="17" spans="1:29">
      <c r="A17" s="81" t="s">
        <v>93</v>
      </c>
      <c r="B17" s="84">
        <v>46044</v>
      </c>
      <c r="C17" s="83">
        <v>46044</v>
      </c>
      <c r="D17" s="85" t="s">
        <v>165</v>
      </c>
      <c r="E17" s="86">
        <v>0.79166666666666663</v>
      </c>
      <c r="F17" s="86">
        <v>0.99930555555555556</v>
      </c>
      <c r="G17" s="86">
        <v>3.4722222222222218E-4</v>
      </c>
      <c r="H17" s="81" t="s">
        <v>180</v>
      </c>
      <c r="I17" s="87" t="s">
        <v>181</v>
      </c>
      <c r="J17" s="81" t="s">
        <v>78</v>
      </c>
      <c r="K17" s="81"/>
      <c r="L17" s="81">
        <v>1</v>
      </c>
      <c r="M17" s="81">
        <v>69719</v>
      </c>
      <c r="N17" s="81" t="s">
        <v>33</v>
      </c>
      <c r="O17" s="81" t="s">
        <v>161</v>
      </c>
      <c r="P17" s="91">
        <v>57</v>
      </c>
      <c r="Q17" s="81"/>
      <c r="R17" s="91">
        <v>57</v>
      </c>
      <c r="S17" s="89">
        <v>46023</v>
      </c>
      <c r="T17" s="91">
        <v>8.5499999999999989</v>
      </c>
      <c r="U17" s="90">
        <v>4</v>
      </c>
      <c r="V17" s="91">
        <v>48.45</v>
      </c>
      <c r="W17" s="81" t="s">
        <v>85</v>
      </c>
      <c r="X17" s="81" t="s">
        <v>76</v>
      </c>
      <c r="Y17" s="81" t="s">
        <v>6</v>
      </c>
      <c r="Z17" s="81" t="s">
        <v>57</v>
      </c>
      <c r="AA17" s="81" t="s">
        <v>32</v>
      </c>
      <c r="AB17" s="90" t="s">
        <v>162</v>
      </c>
      <c r="AC17" s="81" t="s">
        <v>65</v>
      </c>
    </row>
    <row r="18" spans="1:29">
      <c r="A18" s="81" t="s">
        <v>93</v>
      </c>
      <c r="B18" s="84">
        <v>46034</v>
      </c>
      <c r="C18" s="83">
        <v>46034</v>
      </c>
      <c r="D18" s="85" t="s">
        <v>160</v>
      </c>
      <c r="E18" s="86">
        <v>0.79166666666666663</v>
      </c>
      <c r="F18" s="86">
        <v>0.99930555555555556</v>
      </c>
      <c r="G18" s="86">
        <v>3.4722222222222218E-4</v>
      </c>
      <c r="H18" s="81" t="s">
        <v>180</v>
      </c>
      <c r="I18" s="87" t="s">
        <v>132</v>
      </c>
      <c r="J18" s="81" t="s">
        <v>78</v>
      </c>
      <c r="K18" s="81"/>
      <c r="L18" s="81">
        <v>1</v>
      </c>
      <c r="M18" s="81">
        <v>69719</v>
      </c>
      <c r="N18" s="81" t="s">
        <v>33</v>
      </c>
      <c r="O18" s="81" t="s">
        <v>161</v>
      </c>
      <c r="P18" s="91">
        <v>57</v>
      </c>
      <c r="Q18" s="81"/>
      <c r="R18" s="91">
        <v>57</v>
      </c>
      <c r="S18" s="89">
        <v>46023</v>
      </c>
      <c r="T18" s="91">
        <v>8.5499999999999989</v>
      </c>
      <c r="U18" s="90">
        <v>4</v>
      </c>
      <c r="V18" s="91">
        <v>48.45</v>
      </c>
      <c r="W18" s="81" t="s">
        <v>85</v>
      </c>
      <c r="X18" s="81" t="s">
        <v>76</v>
      </c>
      <c r="Y18" s="81" t="s">
        <v>6</v>
      </c>
      <c r="Z18" s="81" t="s">
        <v>57</v>
      </c>
      <c r="AA18" s="81" t="s">
        <v>32</v>
      </c>
      <c r="AB18" s="90" t="s">
        <v>162</v>
      </c>
      <c r="AC18" s="81" t="s">
        <v>65</v>
      </c>
    </row>
    <row r="19" spans="1:29">
      <c r="A19" s="81" t="s">
        <v>93</v>
      </c>
      <c r="B19" s="84">
        <v>46034</v>
      </c>
      <c r="C19" s="83">
        <v>46034</v>
      </c>
      <c r="D19" s="85" t="s">
        <v>160</v>
      </c>
      <c r="E19" s="86">
        <v>0.79166666666666663</v>
      </c>
      <c r="F19" s="86">
        <v>0.99930555555555556</v>
      </c>
      <c r="G19" s="86">
        <v>3.4722222222222218E-4</v>
      </c>
      <c r="H19" s="81" t="s">
        <v>180</v>
      </c>
      <c r="I19" s="87" t="s">
        <v>109</v>
      </c>
      <c r="J19" s="81" t="s">
        <v>78</v>
      </c>
      <c r="K19" s="81"/>
      <c r="L19" s="81">
        <v>1</v>
      </c>
      <c r="M19" s="81">
        <v>69719</v>
      </c>
      <c r="N19" s="81" t="s">
        <v>33</v>
      </c>
      <c r="O19" s="81" t="s">
        <v>161</v>
      </c>
      <c r="P19" s="91">
        <v>57</v>
      </c>
      <c r="Q19" s="81"/>
      <c r="R19" s="91">
        <v>57</v>
      </c>
      <c r="S19" s="89">
        <v>46023</v>
      </c>
      <c r="T19" s="91">
        <v>8.5499999999999989</v>
      </c>
      <c r="U19" s="90">
        <v>4</v>
      </c>
      <c r="V19" s="91">
        <v>48.45</v>
      </c>
      <c r="W19" s="81" t="s">
        <v>85</v>
      </c>
      <c r="X19" s="81" t="s">
        <v>76</v>
      </c>
      <c r="Y19" s="81" t="s">
        <v>6</v>
      </c>
      <c r="Z19" s="81" t="s">
        <v>57</v>
      </c>
      <c r="AA19" s="81" t="s">
        <v>32</v>
      </c>
      <c r="AB19" s="90" t="s">
        <v>162</v>
      </c>
      <c r="AC19" s="81" t="s">
        <v>65</v>
      </c>
    </row>
    <row r="20" spans="1:29">
      <c r="A20" s="81" t="s">
        <v>93</v>
      </c>
      <c r="B20" s="84">
        <v>46044</v>
      </c>
      <c r="C20" s="83">
        <v>46044</v>
      </c>
      <c r="D20" s="85" t="s">
        <v>165</v>
      </c>
      <c r="E20" s="86">
        <v>0.79166666666666663</v>
      </c>
      <c r="F20" s="86">
        <v>0.99930555555555556</v>
      </c>
      <c r="G20" s="86">
        <v>3.4722222222222218E-4</v>
      </c>
      <c r="H20" s="81" t="s">
        <v>180</v>
      </c>
      <c r="I20" s="87" t="s">
        <v>109</v>
      </c>
      <c r="J20" s="81" t="s">
        <v>78</v>
      </c>
      <c r="K20" s="81"/>
      <c r="L20" s="81">
        <v>1</v>
      </c>
      <c r="M20" s="81">
        <v>69719</v>
      </c>
      <c r="N20" s="81" t="s">
        <v>33</v>
      </c>
      <c r="O20" s="81" t="s">
        <v>161</v>
      </c>
      <c r="P20" s="91">
        <v>57</v>
      </c>
      <c r="Q20" s="81"/>
      <c r="R20" s="91">
        <v>57</v>
      </c>
      <c r="S20" s="89">
        <v>46023</v>
      </c>
      <c r="T20" s="91">
        <v>8.5499999999999989</v>
      </c>
      <c r="U20" s="90">
        <v>4</v>
      </c>
      <c r="V20" s="91">
        <v>48.45</v>
      </c>
      <c r="W20" s="81" t="s">
        <v>85</v>
      </c>
      <c r="X20" s="81" t="s">
        <v>76</v>
      </c>
      <c r="Y20" s="81" t="s">
        <v>6</v>
      </c>
      <c r="Z20" s="81" t="s">
        <v>57</v>
      </c>
      <c r="AA20" s="81" t="s">
        <v>32</v>
      </c>
      <c r="AB20" s="90" t="s">
        <v>162</v>
      </c>
      <c r="AC20" s="81" t="s">
        <v>65</v>
      </c>
    </row>
    <row r="21" spans="1:29">
      <c r="A21" s="81" t="s">
        <v>93</v>
      </c>
      <c r="B21" s="84">
        <v>46034</v>
      </c>
      <c r="C21" s="83">
        <v>46034</v>
      </c>
      <c r="D21" s="85" t="s">
        <v>160</v>
      </c>
      <c r="E21" s="86">
        <v>0.79166666666666663</v>
      </c>
      <c r="F21" s="86">
        <v>0.99930555555555556</v>
      </c>
      <c r="G21" s="86">
        <v>3.4722222222222218E-4</v>
      </c>
      <c r="H21" s="81" t="s">
        <v>180</v>
      </c>
      <c r="I21" s="87" t="s">
        <v>111</v>
      </c>
      <c r="J21" s="81" t="s">
        <v>78</v>
      </c>
      <c r="K21" s="81"/>
      <c r="L21" s="81">
        <v>1</v>
      </c>
      <c r="M21" s="81">
        <v>69719</v>
      </c>
      <c r="N21" s="81" t="s">
        <v>33</v>
      </c>
      <c r="O21" s="81" t="s">
        <v>161</v>
      </c>
      <c r="P21" s="91">
        <v>57</v>
      </c>
      <c r="Q21" s="81"/>
      <c r="R21" s="91">
        <v>57</v>
      </c>
      <c r="S21" s="89">
        <v>46023</v>
      </c>
      <c r="T21" s="91">
        <v>8.5499999999999989</v>
      </c>
      <c r="U21" s="90">
        <v>4</v>
      </c>
      <c r="V21" s="91">
        <v>48.45</v>
      </c>
      <c r="W21" s="81" t="s">
        <v>85</v>
      </c>
      <c r="X21" s="81" t="s">
        <v>76</v>
      </c>
      <c r="Y21" s="81" t="s">
        <v>6</v>
      </c>
      <c r="Z21" s="81" t="s">
        <v>57</v>
      </c>
      <c r="AA21" s="81" t="s">
        <v>32</v>
      </c>
      <c r="AB21" s="90" t="s">
        <v>162</v>
      </c>
      <c r="AC21" s="81" t="s">
        <v>65</v>
      </c>
    </row>
    <row r="22" spans="1:29">
      <c r="A22" s="81" t="s">
        <v>93</v>
      </c>
      <c r="B22" s="84">
        <v>46044</v>
      </c>
      <c r="C22" s="83">
        <v>46044</v>
      </c>
      <c r="D22" s="85" t="s">
        <v>165</v>
      </c>
      <c r="E22" s="86">
        <v>0.79166666666666663</v>
      </c>
      <c r="F22" s="86">
        <v>0.99930555555555556</v>
      </c>
      <c r="G22" s="86">
        <v>3.4722222222222218E-4</v>
      </c>
      <c r="H22" s="81" t="s">
        <v>180</v>
      </c>
      <c r="I22" s="87" t="s">
        <v>111</v>
      </c>
      <c r="J22" s="81" t="s">
        <v>78</v>
      </c>
      <c r="K22" s="81"/>
      <c r="L22" s="81">
        <v>1</v>
      </c>
      <c r="M22" s="81">
        <v>69719</v>
      </c>
      <c r="N22" s="81" t="s">
        <v>33</v>
      </c>
      <c r="O22" s="81" t="s">
        <v>161</v>
      </c>
      <c r="P22" s="91">
        <v>57</v>
      </c>
      <c r="Q22" s="81"/>
      <c r="R22" s="91">
        <v>57</v>
      </c>
      <c r="S22" s="89">
        <v>46023</v>
      </c>
      <c r="T22" s="91">
        <v>8.5499999999999989</v>
      </c>
      <c r="U22" s="90">
        <v>4</v>
      </c>
      <c r="V22" s="91">
        <v>48.45</v>
      </c>
      <c r="W22" s="81" t="s">
        <v>85</v>
      </c>
      <c r="X22" s="81" t="s">
        <v>76</v>
      </c>
      <c r="Y22" s="81" t="s">
        <v>6</v>
      </c>
      <c r="Z22" s="81" t="s">
        <v>57</v>
      </c>
      <c r="AA22" s="81" t="s">
        <v>32</v>
      </c>
      <c r="AB22" s="90" t="s">
        <v>162</v>
      </c>
      <c r="AC22" s="81" t="s">
        <v>65</v>
      </c>
    </row>
    <row r="23" spans="1:29">
      <c r="A23" s="81" t="s">
        <v>93</v>
      </c>
      <c r="B23" s="84">
        <v>46034</v>
      </c>
      <c r="C23" s="83">
        <v>46034</v>
      </c>
      <c r="D23" s="85" t="s">
        <v>160</v>
      </c>
      <c r="E23" s="86">
        <v>0.79166666666666663</v>
      </c>
      <c r="F23" s="86">
        <v>0.99930555555555556</v>
      </c>
      <c r="G23" s="86">
        <v>3.4722222222222218E-4</v>
      </c>
      <c r="H23" s="81" t="s">
        <v>180</v>
      </c>
      <c r="I23" s="87" t="s">
        <v>114</v>
      </c>
      <c r="J23" s="81" t="s">
        <v>78</v>
      </c>
      <c r="K23" s="81"/>
      <c r="L23" s="81">
        <v>1</v>
      </c>
      <c r="M23" s="81">
        <v>69719</v>
      </c>
      <c r="N23" s="81" t="s">
        <v>33</v>
      </c>
      <c r="O23" s="81" t="s">
        <v>161</v>
      </c>
      <c r="P23" s="91">
        <v>57</v>
      </c>
      <c r="Q23" s="81"/>
      <c r="R23" s="91">
        <v>57</v>
      </c>
      <c r="S23" s="89">
        <v>46023</v>
      </c>
      <c r="T23" s="91">
        <v>8.5499999999999989</v>
      </c>
      <c r="U23" s="90">
        <v>4</v>
      </c>
      <c r="V23" s="91">
        <v>48.45</v>
      </c>
      <c r="W23" s="81" t="s">
        <v>85</v>
      </c>
      <c r="X23" s="81" t="s">
        <v>76</v>
      </c>
      <c r="Y23" s="81" t="s">
        <v>6</v>
      </c>
      <c r="Z23" s="81" t="s">
        <v>57</v>
      </c>
      <c r="AA23" s="81" t="s">
        <v>32</v>
      </c>
      <c r="AB23" s="90" t="s">
        <v>162</v>
      </c>
      <c r="AC23" s="81" t="s">
        <v>65</v>
      </c>
    </row>
    <row r="24" spans="1:29">
      <c r="A24" s="81" t="s">
        <v>93</v>
      </c>
      <c r="B24" s="84">
        <v>46044</v>
      </c>
      <c r="C24" s="83">
        <v>46044</v>
      </c>
      <c r="D24" s="85" t="s">
        <v>165</v>
      </c>
      <c r="E24" s="86">
        <v>0.79166666666666663</v>
      </c>
      <c r="F24" s="86">
        <v>0.99930555555555556</v>
      </c>
      <c r="G24" s="86">
        <v>3.4722222222222218E-4</v>
      </c>
      <c r="H24" s="81" t="s">
        <v>180</v>
      </c>
      <c r="I24" s="87" t="s">
        <v>114</v>
      </c>
      <c r="J24" s="81" t="s">
        <v>78</v>
      </c>
      <c r="K24" s="81"/>
      <c r="L24" s="81">
        <v>1</v>
      </c>
      <c r="M24" s="81">
        <v>69719</v>
      </c>
      <c r="N24" s="81" t="s">
        <v>33</v>
      </c>
      <c r="O24" s="81" t="s">
        <v>161</v>
      </c>
      <c r="P24" s="91">
        <v>57</v>
      </c>
      <c r="Q24" s="81"/>
      <c r="R24" s="91">
        <v>57</v>
      </c>
      <c r="S24" s="89">
        <v>46023</v>
      </c>
      <c r="T24" s="91">
        <v>8.5499999999999989</v>
      </c>
      <c r="U24" s="90">
        <v>4</v>
      </c>
      <c r="V24" s="91">
        <v>48.45</v>
      </c>
      <c r="W24" s="81" t="s">
        <v>85</v>
      </c>
      <c r="X24" s="81" t="s">
        <v>76</v>
      </c>
      <c r="Y24" s="81" t="s">
        <v>6</v>
      </c>
      <c r="Z24" s="81" t="s">
        <v>57</v>
      </c>
      <c r="AA24" s="81" t="s">
        <v>32</v>
      </c>
      <c r="AB24" s="90" t="s">
        <v>162</v>
      </c>
      <c r="AC24" s="81" t="s">
        <v>65</v>
      </c>
    </row>
    <row r="25" spans="1:29">
      <c r="A25" s="81" t="s">
        <v>93</v>
      </c>
      <c r="B25" s="84">
        <v>46034</v>
      </c>
      <c r="C25" s="83">
        <v>46034</v>
      </c>
      <c r="D25" s="85" t="s">
        <v>160</v>
      </c>
      <c r="E25" s="86">
        <v>0.79166666666666663</v>
      </c>
      <c r="F25" s="86">
        <v>0.99930555555555556</v>
      </c>
      <c r="G25" s="86">
        <v>3.4722222222222218E-4</v>
      </c>
      <c r="H25" s="81" t="s">
        <v>180</v>
      </c>
      <c r="I25" s="87" t="s">
        <v>117</v>
      </c>
      <c r="J25" s="81" t="s">
        <v>78</v>
      </c>
      <c r="K25" s="81"/>
      <c r="L25" s="81">
        <v>1</v>
      </c>
      <c r="M25" s="81">
        <v>69719</v>
      </c>
      <c r="N25" s="81" t="s">
        <v>33</v>
      </c>
      <c r="O25" s="81" t="s">
        <v>161</v>
      </c>
      <c r="P25" s="91">
        <v>57</v>
      </c>
      <c r="Q25" s="81"/>
      <c r="R25" s="91">
        <v>57</v>
      </c>
      <c r="S25" s="89">
        <v>46023</v>
      </c>
      <c r="T25" s="91">
        <v>8.5499999999999989</v>
      </c>
      <c r="U25" s="90">
        <v>4</v>
      </c>
      <c r="V25" s="91">
        <v>48.45</v>
      </c>
      <c r="W25" s="81" t="s">
        <v>85</v>
      </c>
      <c r="X25" s="81" t="s">
        <v>76</v>
      </c>
      <c r="Y25" s="81" t="s">
        <v>6</v>
      </c>
      <c r="Z25" s="81" t="s">
        <v>57</v>
      </c>
      <c r="AA25" s="81" t="s">
        <v>32</v>
      </c>
      <c r="AB25" s="90" t="s">
        <v>162</v>
      </c>
      <c r="AC25" s="81" t="s">
        <v>65</v>
      </c>
    </row>
    <row r="26" spans="1:29">
      <c r="A26" s="81" t="s">
        <v>93</v>
      </c>
      <c r="B26" s="84">
        <v>46044</v>
      </c>
      <c r="C26" s="83">
        <v>46044</v>
      </c>
      <c r="D26" s="85" t="s">
        <v>165</v>
      </c>
      <c r="E26" s="86">
        <v>0.79166666666666663</v>
      </c>
      <c r="F26" s="86">
        <v>0.99930555555555556</v>
      </c>
      <c r="G26" s="86">
        <v>3.4722222222222218E-4</v>
      </c>
      <c r="H26" s="81" t="s">
        <v>180</v>
      </c>
      <c r="I26" s="87" t="s">
        <v>117</v>
      </c>
      <c r="J26" s="81" t="s">
        <v>78</v>
      </c>
      <c r="K26" s="81"/>
      <c r="L26" s="81">
        <v>1</v>
      </c>
      <c r="M26" s="81">
        <v>69719</v>
      </c>
      <c r="N26" s="81" t="s">
        <v>33</v>
      </c>
      <c r="O26" s="81" t="s">
        <v>161</v>
      </c>
      <c r="P26" s="91">
        <v>57</v>
      </c>
      <c r="Q26" s="81"/>
      <c r="R26" s="91">
        <v>57</v>
      </c>
      <c r="S26" s="89">
        <v>46023</v>
      </c>
      <c r="T26" s="91">
        <v>8.5499999999999989</v>
      </c>
      <c r="U26" s="90">
        <v>4</v>
      </c>
      <c r="V26" s="91">
        <v>48.45</v>
      </c>
      <c r="W26" s="81" t="s">
        <v>85</v>
      </c>
      <c r="X26" s="81" t="s">
        <v>76</v>
      </c>
      <c r="Y26" s="81" t="s">
        <v>6</v>
      </c>
      <c r="Z26" s="81" t="s">
        <v>57</v>
      </c>
      <c r="AA26" s="81" t="s">
        <v>32</v>
      </c>
      <c r="AB26" s="90" t="s">
        <v>162</v>
      </c>
      <c r="AC26" s="81" t="s">
        <v>65</v>
      </c>
    </row>
    <row r="27" spans="1:29">
      <c r="A27" s="81" t="s">
        <v>93</v>
      </c>
      <c r="B27" s="84">
        <v>46044</v>
      </c>
      <c r="C27" s="83">
        <v>46044</v>
      </c>
      <c r="D27" s="85" t="s">
        <v>165</v>
      </c>
      <c r="E27" s="86">
        <v>0.79166666666666663</v>
      </c>
      <c r="F27" s="86">
        <v>0.99930555555555556</v>
      </c>
      <c r="G27" s="86">
        <v>3.4722222222222218E-4</v>
      </c>
      <c r="H27" s="81" t="s">
        <v>180</v>
      </c>
      <c r="I27" s="87" t="s">
        <v>129</v>
      </c>
      <c r="J27" s="81" t="s">
        <v>78</v>
      </c>
      <c r="K27" s="81"/>
      <c r="L27" s="81">
        <v>1</v>
      </c>
      <c r="M27" s="81">
        <v>69719</v>
      </c>
      <c r="N27" s="81" t="s">
        <v>33</v>
      </c>
      <c r="O27" s="81" t="s">
        <v>161</v>
      </c>
      <c r="P27" s="91">
        <v>57</v>
      </c>
      <c r="Q27" s="81"/>
      <c r="R27" s="91">
        <v>57</v>
      </c>
      <c r="S27" s="89">
        <v>46023</v>
      </c>
      <c r="T27" s="91">
        <v>8.5499999999999989</v>
      </c>
      <c r="U27" s="90">
        <v>4</v>
      </c>
      <c r="V27" s="91">
        <v>48.45</v>
      </c>
      <c r="W27" s="81" t="s">
        <v>85</v>
      </c>
      <c r="X27" s="81" t="s">
        <v>76</v>
      </c>
      <c r="Y27" s="81" t="s">
        <v>6</v>
      </c>
      <c r="Z27" s="81" t="s">
        <v>57</v>
      </c>
      <c r="AA27" s="81" t="s">
        <v>32</v>
      </c>
      <c r="AB27" s="90" t="s">
        <v>162</v>
      </c>
      <c r="AC27" s="81" t="s">
        <v>65</v>
      </c>
    </row>
    <row r="28" spans="1:29">
      <c r="A28" s="81" t="s">
        <v>93</v>
      </c>
      <c r="B28" s="84">
        <v>46034</v>
      </c>
      <c r="C28" s="83">
        <v>46034</v>
      </c>
      <c r="D28" s="85" t="s">
        <v>160</v>
      </c>
      <c r="E28" s="86">
        <v>0.79166666666666663</v>
      </c>
      <c r="F28" s="86">
        <v>0.99930555555555556</v>
      </c>
      <c r="G28" s="86">
        <v>3.4722222222222218E-4</v>
      </c>
      <c r="H28" s="81" t="s">
        <v>180</v>
      </c>
      <c r="I28" s="87" t="s">
        <v>182</v>
      </c>
      <c r="J28" s="81" t="s">
        <v>78</v>
      </c>
      <c r="K28" s="81"/>
      <c r="L28" s="81">
        <v>1</v>
      </c>
      <c r="M28" s="81">
        <v>69719</v>
      </c>
      <c r="N28" s="81" t="s">
        <v>33</v>
      </c>
      <c r="O28" s="81" t="s">
        <v>161</v>
      </c>
      <c r="P28" s="91">
        <v>57</v>
      </c>
      <c r="Q28" s="81"/>
      <c r="R28" s="91">
        <v>57</v>
      </c>
      <c r="S28" s="89">
        <v>46023</v>
      </c>
      <c r="T28" s="91">
        <v>8.5499999999999989</v>
      </c>
      <c r="U28" s="90">
        <v>4</v>
      </c>
      <c r="V28" s="91">
        <v>48.45</v>
      </c>
      <c r="W28" s="81" t="s">
        <v>85</v>
      </c>
      <c r="X28" s="81" t="s">
        <v>76</v>
      </c>
      <c r="Y28" s="81" t="s">
        <v>6</v>
      </c>
      <c r="Z28" s="81" t="s">
        <v>57</v>
      </c>
      <c r="AA28" s="81" t="s">
        <v>32</v>
      </c>
      <c r="AB28" s="90" t="s">
        <v>162</v>
      </c>
      <c r="AC28" s="81" t="s">
        <v>65</v>
      </c>
    </row>
    <row r="29" spans="1:29">
      <c r="A29" s="81" t="s">
        <v>93</v>
      </c>
      <c r="B29" s="84">
        <v>46034</v>
      </c>
      <c r="C29" s="83">
        <v>46034</v>
      </c>
      <c r="D29" s="85" t="s">
        <v>160</v>
      </c>
      <c r="E29" s="86">
        <v>0.79166666666666663</v>
      </c>
      <c r="F29" s="86">
        <v>0.99930555555555556</v>
      </c>
      <c r="G29" s="86">
        <v>3.4722222222222218E-4</v>
      </c>
      <c r="H29" s="81" t="s">
        <v>180</v>
      </c>
      <c r="I29" s="87" t="s">
        <v>183</v>
      </c>
      <c r="J29" s="81" t="s">
        <v>78</v>
      </c>
      <c r="K29" s="81"/>
      <c r="L29" s="81">
        <v>1</v>
      </c>
      <c r="M29" s="81">
        <v>69719</v>
      </c>
      <c r="N29" s="81" t="s">
        <v>33</v>
      </c>
      <c r="O29" s="81" t="s">
        <v>161</v>
      </c>
      <c r="P29" s="91">
        <v>57</v>
      </c>
      <c r="Q29" s="81"/>
      <c r="R29" s="91">
        <v>57</v>
      </c>
      <c r="S29" s="89">
        <v>46023</v>
      </c>
      <c r="T29" s="91">
        <v>8.5499999999999989</v>
      </c>
      <c r="U29" s="90">
        <v>4</v>
      </c>
      <c r="V29" s="91">
        <v>48.45</v>
      </c>
      <c r="W29" s="81" t="s">
        <v>85</v>
      </c>
      <c r="X29" s="81" t="s">
        <v>76</v>
      </c>
      <c r="Y29" s="81" t="s">
        <v>6</v>
      </c>
      <c r="Z29" s="81" t="s">
        <v>57</v>
      </c>
      <c r="AA29" s="81" t="s">
        <v>32</v>
      </c>
      <c r="AB29" s="90" t="s">
        <v>162</v>
      </c>
      <c r="AC29" s="81" t="s">
        <v>65</v>
      </c>
    </row>
    <row r="30" spans="1:29">
      <c r="A30" s="81" t="s">
        <v>93</v>
      </c>
      <c r="B30" s="84">
        <v>46034</v>
      </c>
      <c r="C30" s="83">
        <v>46034</v>
      </c>
      <c r="D30" s="85" t="s">
        <v>160</v>
      </c>
      <c r="E30" s="86">
        <v>0.79166666666666663</v>
      </c>
      <c r="F30" s="86">
        <v>0.99930555555555556</v>
      </c>
      <c r="G30" s="86">
        <v>3.4722222222222218E-4</v>
      </c>
      <c r="H30" s="81" t="s">
        <v>180</v>
      </c>
      <c r="I30" s="87" t="s">
        <v>124</v>
      </c>
      <c r="J30" s="81" t="s">
        <v>78</v>
      </c>
      <c r="K30" s="81"/>
      <c r="L30" s="81">
        <v>1</v>
      </c>
      <c r="M30" s="81">
        <v>69719</v>
      </c>
      <c r="N30" s="81" t="s">
        <v>33</v>
      </c>
      <c r="O30" s="81" t="s">
        <v>161</v>
      </c>
      <c r="P30" s="91">
        <v>57</v>
      </c>
      <c r="Q30" s="81"/>
      <c r="R30" s="91">
        <v>57</v>
      </c>
      <c r="S30" s="89">
        <v>46023</v>
      </c>
      <c r="T30" s="91">
        <v>8.5499999999999989</v>
      </c>
      <c r="U30" s="90">
        <v>4</v>
      </c>
      <c r="V30" s="91">
        <v>48.45</v>
      </c>
      <c r="W30" s="81" t="s">
        <v>85</v>
      </c>
      <c r="X30" s="81" t="s">
        <v>76</v>
      </c>
      <c r="Y30" s="81" t="s">
        <v>6</v>
      </c>
      <c r="Z30" s="81" t="s">
        <v>57</v>
      </c>
      <c r="AA30" s="81" t="s">
        <v>32</v>
      </c>
      <c r="AB30" s="90" t="s">
        <v>162</v>
      </c>
      <c r="AC30" s="81" t="s">
        <v>65</v>
      </c>
    </row>
    <row r="31" spans="1:29">
      <c r="A31" s="81" t="s">
        <v>93</v>
      </c>
      <c r="B31" s="84">
        <v>46044</v>
      </c>
      <c r="C31" s="83">
        <v>46044</v>
      </c>
      <c r="D31" s="85" t="s">
        <v>165</v>
      </c>
      <c r="E31" s="86">
        <v>0.79166666666666663</v>
      </c>
      <c r="F31" s="86">
        <v>0.99930555555555556</v>
      </c>
      <c r="G31" s="86">
        <v>3.4722222222222218E-4</v>
      </c>
      <c r="H31" s="81" t="s">
        <v>180</v>
      </c>
      <c r="I31" s="87" t="s">
        <v>124</v>
      </c>
      <c r="J31" s="81" t="s">
        <v>78</v>
      </c>
      <c r="K31" s="81"/>
      <c r="L31" s="81">
        <v>1</v>
      </c>
      <c r="M31" s="81">
        <v>69719</v>
      </c>
      <c r="N31" s="81" t="s">
        <v>33</v>
      </c>
      <c r="O31" s="81" t="s">
        <v>161</v>
      </c>
      <c r="P31" s="91">
        <v>57</v>
      </c>
      <c r="Q31" s="81"/>
      <c r="R31" s="91">
        <v>57</v>
      </c>
      <c r="S31" s="89">
        <v>46023</v>
      </c>
      <c r="T31" s="91">
        <v>8.5499999999999989</v>
      </c>
      <c r="U31" s="90">
        <v>4</v>
      </c>
      <c r="V31" s="91">
        <v>48.45</v>
      </c>
      <c r="W31" s="81" t="s">
        <v>85</v>
      </c>
      <c r="X31" s="81" t="s">
        <v>76</v>
      </c>
      <c r="Y31" s="81" t="s">
        <v>6</v>
      </c>
      <c r="Z31" s="81" t="s">
        <v>57</v>
      </c>
      <c r="AA31" s="81" t="s">
        <v>32</v>
      </c>
      <c r="AB31" s="90" t="s">
        <v>162</v>
      </c>
      <c r="AC31" s="81" t="s">
        <v>65</v>
      </c>
    </row>
    <row r="32" spans="1:29">
      <c r="A32" s="81" t="s">
        <v>93</v>
      </c>
      <c r="B32" s="84">
        <v>46039</v>
      </c>
      <c r="C32" s="83">
        <v>46039</v>
      </c>
      <c r="D32" s="85" t="s">
        <v>168</v>
      </c>
      <c r="E32" s="86">
        <v>0.25</v>
      </c>
      <c r="F32" s="86">
        <v>0.5</v>
      </c>
      <c r="G32" s="86">
        <v>3.4722222222222218E-4</v>
      </c>
      <c r="H32" s="81" t="s">
        <v>180</v>
      </c>
      <c r="I32" s="87" t="s">
        <v>77</v>
      </c>
      <c r="J32" s="81" t="s">
        <v>78</v>
      </c>
      <c r="K32" s="81"/>
      <c r="L32" s="81">
        <v>1</v>
      </c>
      <c r="M32" s="81">
        <v>69720</v>
      </c>
      <c r="N32" s="81" t="s">
        <v>33</v>
      </c>
      <c r="O32" s="81" t="s">
        <v>161</v>
      </c>
      <c r="P32" s="91">
        <v>46</v>
      </c>
      <c r="Q32" s="81"/>
      <c r="R32" s="91">
        <v>46</v>
      </c>
      <c r="S32" s="89">
        <v>46023</v>
      </c>
      <c r="T32" s="91">
        <v>6.8999999999999995</v>
      </c>
      <c r="U32" s="90">
        <v>4</v>
      </c>
      <c r="V32" s="91">
        <v>39.1</v>
      </c>
      <c r="W32" s="81" t="s">
        <v>85</v>
      </c>
      <c r="X32" s="81" t="s">
        <v>76</v>
      </c>
      <c r="Y32" s="81" t="s">
        <v>6</v>
      </c>
      <c r="Z32" s="81" t="s">
        <v>57</v>
      </c>
      <c r="AA32" s="81" t="s">
        <v>32</v>
      </c>
      <c r="AB32" s="90" t="s">
        <v>162</v>
      </c>
      <c r="AC32" s="81" t="s">
        <v>65</v>
      </c>
    </row>
    <row r="33" spans="1:29">
      <c r="A33" s="81" t="s">
        <v>93</v>
      </c>
      <c r="B33" s="84">
        <v>46046</v>
      </c>
      <c r="C33" s="83">
        <v>46046</v>
      </c>
      <c r="D33" s="85" t="s">
        <v>168</v>
      </c>
      <c r="E33" s="86">
        <v>0.25</v>
      </c>
      <c r="F33" s="86">
        <v>0.5</v>
      </c>
      <c r="G33" s="86">
        <v>3.4722222222222218E-4</v>
      </c>
      <c r="H33" s="81" t="s">
        <v>180</v>
      </c>
      <c r="I33" s="87" t="s">
        <v>77</v>
      </c>
      <c r="J33" s="81" t="s">
        <v>78</v>
      </c>
      <c r="K33" s="81"/>
      <c r="L33" s="81">
        <v>1</v>
      </c>
      <c r="M33" s="81">
        <v>69720</v>
      </c>
      <c r="N33" s="81" t="s">
        <v>33</v>
      </c>
      <c r="O33" s="81" t="s">
        <v>161</v>
      </c>
      <c r="P33" s="91">
        <v>46</v>
      </c>
      <c r="Q33" s="81"/>
      <c r="R33" s="91">
        <v>46</v>
      </c>
      <c r="S33" s="89">
        <v>46023</v>
      </c>
      <c r="T33" s="91">
        <v>6.8999999999999995</v>
      </c>
      <c r="U33" s="90">
        <v>4</v>
      </c>
      <c r="V33" s="91">
        <v>39.1</v>
      </c>
      <c r="W33" s="81" t="s">
        <v>85</v>
      </c>
      <c r="X33" s="81" t="s">
        <v>76</v>
      </c>
      <c r="Y33" s="81" t="s">
        <v>6</v>
      </c>
      <c r="Z33" s="81" t="s">
        <v>57</v>
      </c>
      <c r="AA33" s="81" t="s">
        <v>32</v>
      </c>
      <c r="AB33" s="90" t="s">
        <v>162</v>
      </c>
      <c r="AC33" s="81" t="s">
        <v>65</v>
      </c>
    </row>
    <row r="34" spans="1:29">
      <c r="A34" s="81" t="s">
        <v>93</v>
      </c>
      <c r="B34" s="84">
        <v>46039</v>
      </c>
      <c r="C34" s="83">
        <v>46039</v>
      </c>
      <c r="D34" s="85" t="s">
        <v>168</v>
      </c>
      <c r="E34" s="86">
        <v>0.25</v>
      </c>
      <c r="F34" s="86">
        <v>0.5</v>
      </c>
      <c r="G34" s="86">
        <v>3.4722222222222218E-4</v>
      </c>
      <c r="H34" s="81" t="s">
        <v>180</v>
      </c>
      <c r="I34" s="87" t="s">
        <v>97</v>
      </c>
      <c r="J34" s="81" t="s">
        <v>78</v>
      </c>
      <c r="K34" s="81"/>
      <c r="L34" s="81">
        <v>1</v>
      </c>
      <c r="M34" s="81">
        <v>69720</v>
      </c>
      <c r="N34" s="81" t="s">
        <v>33</v>
      </c>
      <c r="O34" s="81" t="s">
        <v>161</v>
      </c>
      <c r="P34" s="91">
        <v>46</v>
      </c>
      <c r="Q34" s="81"/>
      <c r="R34" s="91">
        <v>46</v>
      </c>
      <c r="S34" s="89">
        <v>46023</v>
      </c>
      <c r="T34" s="91">
        <v>6.8999999999999995</v>
      </c>
      <c r="U34" s="90">
        <v>4</v>
      </c>
      <c r="V34" s="91">
        <v>39.1</v>
      </c>
      <c r="W34" s="81" t="s">
        <v>85</v>
      </c>
      <c r="X34" s="81" t="s">
        <v>76</v>
      </c>
      <c r="Y34" s="81" t="s">
        <v>6</v>
      </c>
      <c r="Z34" s="81" t="s">
        <v>57</v>
      </c>
      <c r="AA34" s="81" t="s">
        <v>32</v>
      </c>
      <c r="AB34" s="90" t="s">
        <v>162</v>
      </c>
      <c r="AC34" s="81" t="s">
        <v>65</v>
      </c>
    </row>
    <row r="35" spans="1:29">
      <c r="A35" s="81" t="s">
        <v>93</v>
      </c>
      <c r="B35" s="84">
        <v>46046</v>
      </c>
      <c r="C35" s="83">
        <v>46046</v>
      </c>
      <c r="D35" s="85" t="s">
        <v>168</v>
      </c>
      <c r="E35" s="86">
        <v>0.25</v>
      </c>
      <c r="F35" s="86">
        <v>0.5</v>
      </c>
      <c r="G35" s="86">
        <v>3.4722222222222218E-4</v>
      </c>
      <c r="H35" s="81" t="s">
        <v>180</v>
      </c>
      <c r="I35" s="87" t="s">
        <v>97</v>
      </c>
      <c r="J35" s="81" t="s">
        <v>78</v>
      </c>
      <c r="K35" s="81"/>
      <c r="L35" s="81">
        <v>1</v>
      </c>
      <c r="M35" s="81">
        <v>69720</v>
      </c>
      <c r="N35" s="81" t="s">
        <v>33</v>
      </c>
      <c r="O35" s="81" t="s">
        <v>161</v>
      </c>
      <c r="P35" s="91">
        <v>46</v>
      </c>
      <c r="Q35" s="81"/>
      <c r="R35" s="91">
        <v>46</v>
      </c>
      <c r="S35" s="89">
        <v>46023</v>
      </c>
      <c r="T35" s="91">
        <v>6.8999999999999995</v>
      </c>
      <c r="U35" s="90">
        <v>4</v>
      </c>
      <c r="V35" s="91">
        <v>39.1</v>
      </c>
      <c r="W35" s="81" t="s">
        <v>85</v>
      </c>
      <c r="X35" s="81" t="s">
        <v>76</v>
      </c>
      <c r="Y35" s="81" t="s">
        <v>6</v>
      </c>
      <c r="Z35" s="81" t="s">
        <v>57</v>
      </c>
      <c r="AA35" s="81" t="s">
        <v>32</v>
      </c>
      <c r="AB35" s="90" t="s">
        <v>162</v>
      </c>
      <c r="AC35" s="81" t="s">
        <v>65</v>
      </c>
    </row>
    <row r="36" spans="1:29">
      <c r="A36" s="81" t="s">
        <v>93</v>
      </c>
      <c r="B36" s="84">
        <v>46039</v>
      </c>
      <c r="C36" s="83">
        <v>46039</v>
      </c>
      <c r="D36" s="85" t="s">
        <v>168</v>
      </c>
      <c r="E36" s="86">
        <v>0.25</v>
      </c>
      <c r="F36" s="86">
        <v>0.5</v>
      </c>
      <c r="G36" s="86">
        <v>3.4722222222222218E-4</v>
      </c>
      <c r="H36" s="81" t="s">
        <v>180</v>
      </c>
      <c r="I36" s="87" t="s">
        <v>99</v>
      </c>
      <c r="J36" s="81" t="s">
        <v>78</v>
      </c>
      <c r="K36" s="81"/>
      <c r="L36" s="81">
        <v>1</v>
      </c>
      <c r="M36" s="81">
        <v>69720</v>
      </c>
      <c r="N36" s="81" t="s">
        <v>33</v>
      </c>
      <c r="O36" s="81" t="s">
        <v>161</v>
      </c>
      <c r="P36" s="91">
        <v>46</v>
      </c>
      <c r="Q36" s="81"/>
      <c r="R36" s="91">
        <v>46</v>
      </c>
      <c r="S36" s="89">
        <v>46023</v>
      </c>
      <c r="T36" s="91">
        <v>6.8999999999999995</v>
      </c>
      <c r="U36" s="90">
        <v>4</v>
      </c>
      <c r="V36" s="91">
        <v>39.1</v>
      </c>
      <c r="W36" s="81" t="s">
        <v>85</v>
      </c>
      <c r="X36" s="81" t="s">
        <v>76</v>
      </c>
      <c r="Y36" s="81" t="s">
        <v>6</v>
      </c>
      <c r="Z36" s="81" t="s">
        <v>57</v>
      </c>
      <c r="AA36" s="81" t="s">
        <v>32</v>
      </c>
      <c r="AB36" s="90" t="s">
        <v>162</v>
      </c>
      <c r="AC36" s="81" t="s">
        <v>65</v>
      </c>
    </row>
    <row r="37" spans="1:29">
      <c r="A37" s="81" t="s">
        <v>93</v>
      </c>
      <c r="B37" s="84">
        <v>46046</v>
      </c>
      <c r="C37" s="83">
        <v>46046</v>
      </c>
      <c r="D37" s="85" t="s">
        <v>168</v>
      </c>
      <c r="E37" s="86">
        <v>0.25</v>
      </c>
      <c r="F37" s="86">
        <v>0.5</v>
      </c>
      <c r="G37" s="86">
        <v>3.4722222222222218E-4</v>
      </c>
      <c r="H37" s="81" t="s">
        <v>180</v>
      </c>
      <c r="I37" s="87" t="s">
        <v>99</v>
      </c>
      <c r="J37" s="81" t="s">
        <v>78</v>
      </c>
      <c r="K37" s="81"/>
      <c r="L37" s="81">
        <v>1</v>
      </c>
      <c r="M37" s="81">
        <v>69720</v>
      </c>
      <c r="N37" s="81" t="s">
        <v>33</v>
      </c>
      <c r="O37" s="81" t="s">
        <v>161</v>
      </c>
      <c r="P37" s="91">
        <v>46</v>
      </c>
      <c r="Q37" s="81"/>
      <c r="R37" s="91">
        <v>46</v>
      </c>
      <c r="S37" s="89">
        <v>46023</v>
      </c>
      <c r="T37" s="91">
        <v>6.8999999999999995</v>
      </c>
      <c r="U37" s="90">
        <v>4</v>
      </c>
      <c r="V37" s="91">
        <v>39.1</v>
      </c>
      <c r="W37" s="81" t="s">
        <v>85</v>
      </c>
      <c r="X37" s="81" t="s">
        <v>76</v>
      </c>
      <c r="Y37" s="81" t="s">
        <v>6</v>
      </c>
      <c r="Z37" s="81" t="s">
        <v>57</v>
      </c>
      <c r="AA37" s="81" t="s">
        <v>32</v>
      </c>
      <c r="AB37" s="90" t="s">
        <v>162</v>
      </c>
      <c r="AC37" s="81" t="s">
        <v>65</v>
      </c>
    </row>
    <row r="38" spans="1:29">
      <c r="A38" s="81" t="s">
        <v>93</v>
      </c>
      <c r="B38" s="84">
        <v>46040</v>
      </c>
      <c r="C38" s="83">
        <v>46040</v>
      </c>
      <c r="D38" s="85" t="s">
        <v>169</v>
      </c>
      <c r="E38" s="86">
        <v>0.25</v>
      </c>
      <c r="F38" s="86">
        <v>0.5</v>
      </c>
      <c r="G38" s="86">
        <v>3.4722222222222218E-4</v>
      </c>
      <c r="H38" s="81" t="s">
        <v>180</v>
      </c>
      <c r="I38" s="87" t="s">
        <v>100</v>
      </c>
      <c r="J38" s="81" t="s">
        <v>78</v>
      </c>
      <c r="K38" s="81"/>
      <c r="L38" s="81">
        <v>1</v>
      </c>
      <c r="M38" s="81">
        <v>69720</v>
      </c>
      <c r="N38" s="81" t="s">
        <v>33</v>
      </c>
      <c r="O38" s="81" t="s">
        <v>161</v>
      </c>
      <c r="P38" s="91">
        <v>46</v>
      </c>
      <c r="Q38" s="81"/>
      <c r="R38" s="91">
        <v>46</v>
      </c>
      <c r="S38" s="89">
        <v>46023</v>
      </c>
      <c r="T38" s="91">
        <v>6.8999999999999995</v>
      </c>
      <c r="U38" s="90">
        <v>4</v>
      </c>
      <c r="V38" s="91">
        <v>39.1</v>
      </c>
      <c r="W38" s="81" t="s">
        <v>85</v>
      </c>
      <c r="X38" s="81" t="s">
        <v>76</v>
      </c>
      <c r="Y38" s="81" t="s">
        <v>6</v>
      </c>
      <c r="Z38" s="81" t="s">
        <v>57</v>
      </c>
      <c r="AA38" s="81" t="s">
        <v>32</v>
      </c>
      <c r="AB38" s="90" t="s">
        <v>162</v>
      </c>
      <c r="AC38" s="81" t="s">
        <v>65</v>
      </c>
    </row>
    <row r="39" spans="1:29">
      <c r="A39" s="81" t="s">
        <v>93</v>
      </c>
      <c r="B39" s="84">
        <v>46047</v>
      </c>
      <c r="C39" s="83">
        <v>46047</v>
      </c>
      <c r="D39" s="85" t="s">
        <v>169</v>
      </c>
      <c r="E39" s="86">
        <v>0.25</v>
      </c>
      <c r="F39" s="86">
        <v>0.5</v>
      </c>
      <c r="G39" s="86">
        <v>3.4722222222222218E-4</v>
      </c>
      <c r="H39" s="81" t="s">
        <v>180</v>
      </c>
      <c r="I39" s="87" t="s">
        <v>100</v>
      </c>
      <c r="J39" s="81" t="s">
        <v>78</v>
      </c>
      <c r="K39" s="81"/>
      <c r="L39" s="81">
        <v>1</v>
      </c>
      <c r="M39" s="81">
        <v>69720</v>
      </c>
      <c r="N39" s="81" t="s">
        <v>33</v>
      </c>
      <c r="O39" s="81" t="s">
        <v>161</v>
      </c>
      <c r="P39" s="91">
        <v>46</v>
      </c>
      <c r="Q39" s="81"/>
      <c r="R39" s="91">
        <v>46</v>
      </c>
      <c r="S39" s="89">
        <v>46023</v>
      </c>
      <c r="T39" s="91">
        <v>6.8999999999999995</v>
      </c>
      <c r="U39" s="90">
        <v>4</v>
      </c>
      <c r="V39" s="91">
        <v>39.1</v>
      </c>
      <c r="W39" s="81" t="s">
        <v>85</v>
      </c>
      <c r="X39" s="81" t="s">
        <v>76</v>
      </c>
      <c r="Y39" s="81" t="s">
        <v>6</v>
      </c>
      <c r="Z39" s="81" t="s">
        <v>57</v>
      </c>
      <c r="AA39" s="81" t="s">
        <v>32</v>
      </c>
      <c r="AB39" s="90" t="s">
        <v>162</v>
      </c>
      <c r="AC39" s="81" t="s">
        <v>65</v>
      </c>
    </row>
    <row r="40" spans="1:29">
      <c r="A40" s="81" t="s">
        <v>93</v>
      </c>
      <c r="B40" s="84">
        <v>46039</v>
      </c>
      <c r="C40" s="83">
        <v>46039</v>
      </c>
      <c r="D40" s="85" t="s">
        <v>168</v>
      </c>
      <c r="E40" s="86">
        <v>0.25</v>
      </c>
      <c r="F40" s="86">
        <v>0.5</v>
      </c>
      <c r="G40" s="86">
        <v>3.4722222222222218E-4</v>
      </c>
      <c r="H40" s="81" t="s">
        <v>180</v>
      </c>
      <c r="I40" s="87" t="s">
        <v>102</v>
      </c>
      <c r="J40" s="81" t="s">
        <v>78</v>
      </c>
      <c r="K40" s="81"/>
      <c r="L40" s="81">
        <v>1</v>
      </c>
      <c r="M40" s="81">
        <v>69720</v>
      </c>
      <c r="N40" s="81" t="s">
        <v>33</v>
      </c>
      <c r="O40" s="81" t="s">
        <v>161</v>
      </c>
      <c r="P40" s="91">
        <v>46</v>
      </c>
      <c r="Q40" s="81"/>
      <c r="R40" s="91">
        <v>46</v>
      </c>
      <c r="S40" s="89">
        <v>46023</v>
      </c>
      <c r="T40" s="91">
        <v>6.8999999999999995</v>
      </c>
      <c r="U40" s="90">
        <v>4</v>
      </c>
      <c r="V40" s="91">
        <v>39.1</v>
      </c>
      <c r="W40" s="81" t="s">
        <v>85</v>
      </c>
      <c r="X40" s="81" t="s">
        <v>76</v>
      </c>
      <c r="Y40" s="81" t="s">
        <v>6</v>
      </c>
      <c r="Z40" s="81" t="s">
        <v>57</v>
      </c>
      <c r="AA40" s="81" t="s">
        <v>32</v>
      </c>
      <c r="AB40" s="90" t="s">
        <v>162</v>
      </c>
      <c r="AC40" s="81" t="s">
        <v>65</v>
      </c>
    </row>
    <row r="41" spans="1:29">
      <c r="A41" s="81" t="s">
        <v>93</v>
      </c>
      <c r="B41" s="84">
        <v>46040</v>
      </c>
      <c r="C41" s="83">
        <v>46040</v>
      </c>
      <c r="D41" s="85" t="s">
        <v>169</v>
      </c>
      <c r="E41" s="86">
        <v>0.25</v>
      </c>
      <c r="F41" s="86">
        <v>0.5</v>
      </c>
      <c r="G41" s="86">
        <v>3.4722222222222218E-4</v>
      </c>
      <c r="H41" s="81" t="s">
        <v>180</v>
      </c>
      <c r="I41" s="87" t="s">
        <v>102</v>
      </c>
      <c r="J41" s="81" t="s">
        <v>78</v>
      </c>
      <c r="K41" s="81"/>
      <c r="L41" s="81">
        <v>1</v>
      </c>
      <c r="M41" s="81">
        <v>69720</v>
      </c>
      <c r="N41" s="81" t="s">
        <v>33</v>
      </c>
      <c r="O41" s="81" t="s">
        <v>161</v>
      </c>
      <c r="P41" s="91">
        <v>46</v>
      </c>
      <c r="Q41" s="81"/>
      <c r="R41" s="91">
        <v>46</v>
      </c>
      <c r="S41" s="89">
        <v>46023</v>
      </c>
      <c r="T41" s="91">
        <v>6.8999999999999995</v>
      </c>
      <c r="U41" s="90">
        <v>4</v>
      </c>
      <c r="V41" s="91">
        <v>39.1</v>
      </c>
      <c r="W41" s="81" t="s">
        <v>85</v>
      </c>
      <c r="X41" s="81" t="s">
        <v>76</v>
      </c>
      <c r="Y41" s="81" t="s">
        <v>6</v>
      </c>
      <c r="Z41" s="81" t="s">
        <v>57</v>
      </c>
      <c r="AA41" s="81" t="s">
        <v>32</v>
      </c>
      <c r="AB41" s="90" t="s">
        <v>162</v>
      </c>
      <c r="AC41" s="81" t="s">
        <v>65</v>
      </c>
    </row>
    <row r="42" spans="1:29">
      <c r="A42" s="81" t="s">
        <v>93</v>
      </c>
      <c r="B42" s="84">
        <v>46046</v>
      </c>
      <c r="C42" s="83">
        <v>46046</v>
      </c>
      <c r="D42" s="85" t="s">
        <v>168</v>
      </c>
      <c r="E42" s="86">
        <v>0.25</v>
      </c>
      <c r="F42" s="86">
        <v>0.5</v>
      </c>
      <c r="G42" s="86">
        <v>3.4722222222222218E-4</v>
      </c>
      <c r="H42" s="81" t="s">
        <v>180</v>
      </c>
      <c r="I42" s="87" t="s">
        <v>102</v>
      </c>
      <c r="J42" s="81" t="s">
        <v>78</v>
      </c>
      <c r="K42" s="81"/>
      <c r="L42" s="81">
        <v>1</v>
      </c>
      <c r="M42" s="81">
        <v>69720</v>
      </c>
      <c r="N42" s="81" t="s">
        <v>33</v>
      </c>
      <c r="O42" s="81" t="s">
        <v>161</v>
      </c>
      <c r="P42" s="91">
        <v>46</v>
      </c>
      <c r="Q42" s="81"/>
      <c r="R42" s="91">
        <v>46</v>
      </c>
      <c r="S42" s="89">
        <v>46023</v>
      </c>
      <c r="T42" s="91">
        <v>6.8999999999999995</v>
      </c>
      <c r="U42" s="90">
        <v>4</v>
      </c>
      <c r="V42" s="91">
        <v>39.1</v>
      </c>
      <c r="W42" s="81" t="s">
        <v>85</v>
      </c>
      <c r="X42" s="81" t="s">
        <v>76</v>
      </c>
      <c r="Y42" s="81" t="s">
        <v>6</v>
      </c>
      <c r="Z42" s="81" t="s">
        <v>57</v>
      </c>
      <c r="AA42" s="81" t="s">
        <v>32</v>
      </c>
      <c r="AB42" s="90" t="s">
        <v>162</v>
      </c>
      <c r="AC42" s="81" t="s">
        <v>65</v>
      </c>
    </row>
    <row r="43" spans="1:29">
      <c r="A43" s="81" t="s">
        <v>93</v>
      </c>
      <c r="B43" s="84">
        <v>46047</v>
      </c>
      <c r="C43" s="83">
        <v>46047</v>
      </c>
      <c r="D43" s="85" t="s">
        <v>169</v>
      </c>
      <c r="E43" s="86">
        <v>0.25</v>
      </c>
      <c r="F43" s="86">
        <v>0.5</v>
      </c>
      <c r="G43" s="86">
        <v>3.4722222222222218E-4</v>
      </c>
      <c r="H43" s="81" t="s">
        <v>180</v>
      </c>
      <c r="I43" s="87" t="s">
        <v>102</v>
      </c>
      <c r="J43" s="81" t="s">
        <v>78</v>
      </c>
      <c r="K43" s="81"/>
      <c r="L43" s="81">
        <v>1</v>
      </c>
      <c r="M43" s="81">
        <v>69720</v>
      </c>
      <c r="N43" s="81" t="s">
        <v>33</v>
      </c>
      <c r="O43" s="81" t="s">
        <v>161</v>
      </c>
      <c r="P43" s="91">
        <v>46</v>
      </c>
      <c r="Q43" s="81"/>
      <c r="R43" s="91">
        <v>46</v>
      </c>
      <c r="S43" s="89">
        <v>46023</v>
      </c>
      <c r="T43" s="91">
        <v>6.8999999999999995</v>
      </c>
      <c r="U43" s="90">
        <v>4</v>
      </c>
      <c r="V43" s="91">
        <v>39.1</v>
      </c>
      <c r="W43" s="81" t="s">
        <v>85</v>
      </c>
      <c r="X43" s="81" t="s">
        <v>76</v>
      </c>
      <c r="Y43" s="81" t="s">
        <v>6</v>
      </c>
      <c r="Z43" s="81" t="s">
        <v>57</v>
      </c>
      <c r="AA43" s="81" t="s">
        <v>32</v>
      </c>
      <c r="AB43" s="90" t="s">
        <v>162</v>
      </c>
      <c r="AC43" s="81" t="s">
        <v>65</v>
      </c>
    </row>
    <row r="44" spans="1:29">
      <c r="A44" s="81" t="s">
        <v>93</v>
      </c>
      <c r="B44" s="84">
        <v>46039</v>
      </c>
      <c r="C44" s="83">
        <v>46039</v>
      </c>
      <c r="D44" s="85" t="s">
        <v>168</v>
      </c>
      <c r="E44" s="86">
        <v>0.25</v>
      </c>
      <c r="F44" s="86">
        <v>0.5</v>
      </c>
      <c r="G44" s="86">
        <v>3.4722222222222218E-4</v>
      </c>
      <c r="H44" s="81" t="s">
        <v>180</v>
      </c>
      <c r="I44" s="87" t="s">
        <v>104</v>
      </c>
      <c r="J44" s="81" t="s">
        <v>78</v>
      </c>
      <c r="K44" s="81"/>
      <c r="L44" s="81">
        <v>1</v>
      </c>
      <c r="M44" s="81">
        <v>69720</v>
      </c>
      <c r="N44" s="81" t="s">
        <v>33</v>
      </c>
      <c r="O44" s="81" t="s">
        <v>161</v>
      </c>
      <c r="P44" s="91">
        <v>46</v>
      </c>
      <c r="Q44" s="81"/>
      <c r="R44" s="91">
        <v>46</v>
      </c>
      <c r="S44" s="89">
        <v>46023</v>
      </c>
      <c r="T44" s="91">
        <v>6.8999999999999995</v>
      </c>
      <c r="U44" s="90">
        <v>4</v>
      </c>
      <c r="V44" s="91">
        <v>39.1</v>
      </c>
      <c r="W44" s="81" t="s">
        <v>85</v>
      </c>
      <c r="X44" s="81" t="s">
        <v>76</v>
      </c>
      <c r="Y44" s="81" t="s">
        <v>6</v>
      </c>
      <c r="Z44" s="81" t="s">
        <v>57</v>
      </c>
      <c r="AA44" s="81" t="s">
        <v>32</v>
      </c>
      <c r="AB44" s="90" t="s">
        <v>162</v>
      </c>
      <c r="AC44" s="81" t="s">
        <v>65</v>
      </c>
    </row>
    <row r="45" spans="1:29">
      <c r="A45" s="81" t="s">
        <v>93</v>
      </c>
      <c r="B45" s="84">
        <v>46040</v>
      </c>
      <c r="C45" s="83">
        <v>46040</v>
      </c>
      <c r="D45" s="85" t="s">
        <v>169</v>
      </c>
      <c r="E45" s="86">
        <v>0.25</v>
      </c>
      <c r="F45" s="86">
        <v>0.5</v>
      </c>
      <c r="G45" s="86">
        <v>3.4722222222222218E-4</v>
      </c>
      <c r="H45" s="81" t="s">
        <v>180</v>
      </c>
      <c r="I45" s="87" t="s">
        <v>104</v>
      </c>
      <c r="J45" s="81" t="s">
        <v>78</v>
      </c>
      <c r="K45" s="81"/>
      <c r="L45" s="81">
        <v>1</v>
      </c>
      <c r="M45" s="81">
        <v>69720</v>
      </c>
      <c r="N45" s="81" t="s">
        <v>33</v>
      </c>
      <c r="O45" s="81" t="s">
        <v>161</v>
      </c>
      <c r="P45" s="91">
        <v>46</v>
      </c>
      <c r="Q45" s="81"/>
      <c r="R45" s="91">
        <v>46</v>
      </c>
      <c r="S45" s="89">
        <v>46023</v>
      </c>
      <c r="T45" s="91">
        <v>6.8999999999999995</v>
      </c>
      <c r="U45" s="90">
        <v>4</v>
      </c>
      <c r="V45" s="91">
        <v>39.1</v>
      </c>
      <c r="W45" s="81" t="s">
        <v>85</v>
      </c>
      <c r="X45" s="81" t="s">
        <v>76</v>
      </c>
      <c r="Y45" s="81" t="s">
        <v>6</v>
      </c>
      <c r="Z45" s="81" t="s">
        <v>57</v>
      </c>
      <c r="AA45" s="81" t="s">
        <v>32</v>
      </c>
      <c r="AB45" s="90" t="s">
        <v>162</v>
      </c>
      <c r="AC45" s="81" t="s">
        <v>65</v>
      </c>
    </row>
    <row r="46" spans="1:29">
      <c r="A46" s="81" t="s">
        <v>93</v>
      </c>
      <c r="B46" s="84">
        <v>46047</v>
      </c>
      <c r="C46" s="83">
        <v>46047</v>
      </c>
      <c r="D46" s="85" t="s">
        <v>169</v>
      </c>
      <c r="E46" s="86">
        <v>0.25</v>
      </c>
      <c r="F46" s="86">
        <v>0.5</v>
      </c>
      <c r="G46" s="86">
        <v>3.4722222222222218E-4</v>
      </c>
      <c r="H46" s="81" t="s">
        <v>180</v>
      </c>
      <c r="I46" s="87" t="s">
        <v>104</v>
      </c>
      <c r="J46" s="81" t="s">
        <v>78</v>
      </c>
      <c r="K46" s="81"/>
      <c r="L46" s="81">
        <v>1</v>
      </c>
      <c r="M46" s="81">
        <v>69720</v>
      </c>
      <c r="N46" s="81" t="s">
        <v>33</v>
      </c>
      <c r="O46" s="81" t="s">
        <v>161</v>
      </c>
      <c r="P46" s="91">
        <v>46</v>
      </c>
      <c r="Q46" s="81"/>
      <c r="R46" s="91">
        <v>46</v>
      </c>
      <c r="S46" s="89">
        <v>46023</v>
      </c>
      <c r="T46" s="91">
        <v>6.8999999999999995</v>
      </c>
      <c r="U46" s="90">
        <v>4</v>
      </c>
      <c r="V46" s="91">
        <v>39.1</v>
      </c>
      <c r="W46" s="81" t="s">
        <v>85</v>
      </c>
      <c r="X46" s="81" t="s">
        <v>76</v>
      </c>
      <c r="Y46" s="81" t="s">
        <v>6</v>
      </c>
      <c r="Z46" s="81" t="s">
        <v>57</v>
      </c>
      <c r="AA46" s="81" t="s">
        <v>32</v>
      </c>
      <c r="AB46" s="90" t="s">
        <v>162</v>
      </c>
      <c r="AC46" s="81" t="s">
        <v>65</v>
      </c>
    </row>
    <row r="47" spans="1:29">
      <c r="A47" s="81" t="s">
        <v>93</v>
      </c>
      <c r="B47" s="84">
        <v>46044</v>
      </c>
      <c r="C47" s="83">
        <v>46044</v>
      </c>
      <c r="D47" s="85" t="s">
        <v>165</v>
      </c>
      <c r="E47" s="86">
        <v>0.45833333333333331</v>
      </c>
      <c r="F47" s="86">
        <v>0.54166666666666663</v>
      </c>
      <c r="G47" s="86">
        <v>3.4722222222222218E-4</v>
      </c>
      <c r="H47" s="81" t="s">
        <v>180</v>
      </c>
      <c r="I47" s="87" t="s">
        <v>135</v>
      </c>
      <c r="J47" s="81" t="s">
        <v>136</v>
      </c>
      <c r="K47" s="81"/>
      <c r="L47" s="81">
        <v>1</v>
      </c>
      <c r="M47" s="81">
        <v>69721</v>
      </c>
      <c r="N47" s="81" t="s">
        <v>71</v>
      </c>
      <c r="O47" s="81" t="s">
        <v>161</v>
      </c>
      <c r="P47" s="91">
        <v>0</v>
      </c>
      <c r="Q47" s="81"/>
      <c r="R47" s="91">
        <v>0</v>
      </c>
      <c r="S47" s="89">
        <v>46023</v>
      </c>
      <c r="T47" s="91">
        <v>0</v>
      </c>
      <c r="U47" s="90">
        <v>4</v>
      </c>
      <c r="V47" s="91">
        <v>0</v>
      </c>
      <c r="W47" s="81" t="s">
        <v>85</v>
      </c>
      <c r="X47" s="81" t="s">
        <v>76</v>
      </c>
      <c r="Y47" s="81" t="s">
        <v>6</v>
      </c>
      <c r="Z47" s="81" t="s">
        <v>57</v>
      </c>
      <c r="AA47" s="81" t="s">
        <v>32</v>
      </c>
      <c r="AB47" s="90" t="s">
        <v>162</v>
      </c>
      <c r="AC47" s="81" t="s">
        <v>65</v>
      </c>
    </row>
    <row r="48" spans="1:29">
      <c r="A48" s="81" t="s">
        <v>93</v>
      </c>
      <c r="B48" s="84">
        <v>46034</v>
      </c>
      <c r="C48" s="83">
        <v>46034</v>
      </c>
      <c r="D48" s="85" t="s">
        <v>160</v>
      </c>
      <c r="E48" s="86">
        <v>0.45833333333333331</v>
      </c>
      <c r="F48" s="86">
        <v>0.54166666666666663</v>
      </c>
      <c r="G48" s="86">
        <v>3.4722222222222218E-4</v>
      </c>
      <c r="H48" s="81" t="s">
        <v>180</v>
      </c>
      <c r="I48" s="87" t="s">
        <v>138</v>
      </c>
      <c r="J48" s="81" t="s">
        <v>136</v>
      </c>
      <c r="K48" s="81"/>
      <c r="L48" s="81">
        <v>1</v>
      </c>
      <c r="M48" s="81">
        <v>69721</v>
      </c>
      <c r="N48" s="81" t="s">
        <v>71</v>
      </c>
      <c r="O48" s="81" t="s">
        <v>161</v>
      </c>
      <c r="P48" s="91">
        <v>0</v>
      </c>
      <c r="Q48" s="81"/>
      <c r="R48" s="91">
        <v>0</v>
      </c>
      <c r="S48" s="89">
        <v>46023</v>
      </c>
      <c r="T48" s="91">
        <v>0</v>
      </c>
      <c r="U48" s="90">
        <v>4</v>
      </c>
      <c r="V48" s="91">
        <v>0</v>
      </c>
      <c r="W48" s="81" t="s">
        <v>85</v>
      </c>
      <c r="X48" s="81" t="s">
        <v>76</v>
      </c>
      <c r="Y48" s="81" t="s">
        <v>6</v>
      </c>
      <c r="Z48" s="81" t="s">
        <v>57</v>
      </c>
      <c r="AA48" s="81" t="s">
        <v>32</v>
      </c>
      <c r="AB48" s="90" t="s">
        <v>162</v>
      </c>
      <c r="AC48" s="81" t="s">
        <v>65</v>
      </c>
    </row>
    <row r="49" spans="1:29">
      <c r="A49" s="81" t="s">
        <v>93</v>
      </c>
      <c r="B49" s="84">
        <v>46037</v>
      </c>
      <c r="C49" s="83">
        <v>46037</v>
      </c>
      <c r="D49" s="85" t="s">
        <v>165</v>
      </c>
      <c r="E49" s="86">
        <v>0.45833333333333331</v>
      </c>
      <c r="F49" s="86">
        <v>0.54166666666666663</v>
      </c>
      <c r="G49" s="86">
        <v>3.4722222222222218E-4</v>
      </c>
      <c r="H49" s="81" t="s">
        <v>180</v>
      </c>
      <c r="I49" s="87" t="s">
        <v>143</v>
      </c>
      <c r="J49" s="81" t="s">
        <v>136</v>
      </c>
      <c r="K49" s="81"/>
      <c r="L49" s="81">
        <v>1</v>
      </c>
      <c r="M49" s="81">
        <v>69721</v>
      </c>
      <c r="N49" s="81" t="s">
        <v>71</v>
      </c>
      <c r="O49" s="81" t="s">
        <v>161</v>
      </c>
      <c r="P49" s="91">
        <v>0</v>
      </c>
      <c r="Q49" s="81"/>
      <c r="R49" s="91">
        <v>0</v>
      </c>
      <c r="S49" s="89">
        <v>46023</v>
      </c>
      <c r="T49" s="91">
        <v>0</v>
      </c>
      <c r="U49" s="90">
        <v>4</v>
      </c>
      <c r="V49" s="91">
        <v>0</v>
      </c>
      <c r="W49" s="81" t="s">
        <v>85</v>
      </c>
      <c r="X49" s="81" t="s">
        <v>76</v>
      </c>
      <c r="Y49" s="81" t="s">
        <v>6</v>
      </c>
      <c r="Z49" s="81" t="s">
        <v>57</v>
      </c>
      <c r="AA49" s="81" t="s">
        <v>32</v>
      </c>
      <c r="AB49" s="90" t="s">
        <v>162</v>
      </c>
      <c r="AC49" s="81" t="s">
        <v>65</v>
      </c>
    </row>
    <row r="50" spans="1:29">
      <c r="A50" s="81" t="s">
        <v>93</v>
      </c>
      <c r="B50" s="84">
        <v>46045</v>
      </c>
      <c r="C50" s="83">
        <v>46045</v>
      </c>
      <c r="D50" s="85" t="s">
        <v>166</v>
      </c>
      <c r="E50" s="86">
        <v>0.45833333333333331</v>
      </c>
      <c r="F50" s="86">
        <v>0.54166666666666663</v>
      </c>
      <c r="G50" s="86">
        <v>3.4722222222222218E-4</v>
      </c>
      <c r="H50" s="81" t="s">
        <v>180</v>
      </c>
      <c r="I50" s="87" t="s">
        <v>184</v>
      </c>
      <c r="J50" s="81" t="s">
        <v>136</v>
      </c>
      <c r="K50" s="81"/>
      <c r="L50" s="81">
        <v>1</v>
      </c>
      <c r="M50" s="81">
        <v>69721</v>
      </c>
      <c r="N50" s="81" t="s">
        <v>71</v>
      </c>
      <c r="O50" s="81" t="s">
        <v>161</v>
      </c>
      <c r="P50" s="91">
        <v>0</v>
      </c>
      <c r="Q50" s="81"/>
      <c r="R50" s="91">
        <v>0</v>
      </c>
      <c r="S50" s="89">
        <v>46023</v>
      </c>
      <c r="T50" s="91">
        <v>0</v>
      </c>
      <c r="U50" s="90">
        <v>4</v>
      </c>
      <c r="V50" s="91">
        <v>0</v>
      </c>
      <c r="W50" s="81" t="s">
        <v>85</v>
      </c>
      <c r="X50" s="81" t="s">
        <v>76</v>
      </c>
      <c r="Y50" s="81" t="s">
        <v>6</v>
      </c>
      <c r="Z50" s="81" t="s">
        <v>57</v>
      </c>
      <c r="AA50" s="81" t="s">
        <v>32</v>
      </c>
      <c r="AB50" s="90" t="s">
        <v>162</v>
      </c>
      <c r="AC50" s="81" t="s">
        <v>65</v>
      </c>
    </row>
    <row r="51" spans="1:29">
      <c r="A51" s="81" t="s">
        <v>93</v>
      </c>
      <c r="B51" s="84">
        <v>46039</v>
      </c>
      <c r="C51" s="83">
        <v>46039</v>
      </c>
      <c r="D51" s="85" t="s">
        <v>168</v>
      </c>
      <c r="E51" s="86">
        <v>0.45833333333333331</v>
      </c>
      <c r="F51" s="86">
        <v>0.54166666666666663</v>
      </c>
      <c r="G51" s="86">
        <v>3.4722222222222218E-4</v>
      </c>
      <c r="H51" s="81" t="s">
        <v>180</v>
      </c>
      <c r="I51" s="87" t="s">
        <v>145</v>
      </c>
      <c r="J51" s="81" t="s">
        <v>136</v>
      </c>
      <c r="K51" s="81"/>
      <c r="L51" s="81">
        <v>1</v>
      </c>
      <c r="M51" s="81">
        <v>69721</v>
      </c>
      <c r="N51" s="81" t="s">
        <v>71</v>
      </c>
      <c r="O51" s="81" t="s">
        <v>161</v>
      </c>
      <c r="P51" s="91">
        <v>0</v>
      </c>
      <c r="Q51" s="81"/>
      <c r="R51" s="91">
        <v>0</v>
      </c>
      <c r="S51" s="89">
        <v>46023</v>
      </c>
      <c r="T51" s="91">
        <v>0</v>
      </c>
      <c r="U51" s="90">
        <v>4</v>
      </c>
      <c r="V51" s="91">
        <v>0</v>
      </c>
      <c r="W51" s="81" t="s">
        <v>85</v>
      </c>
      <c r="X51" s="81" t="s">
        <v>76</v>
      </c>
      <c r="Y51" s="81" t="s">
        <v>6</v>
      </c>
      <c r="Z51" s="81" t="s">
        <v>57</v>
      </c>
      <c r="AA51" s="81" t="s">
        <v>32</v>
      </c>
      <c r="AB51" s="90" t="s">
        <v>162</v>
      </c>
      <c r="AC51" s="81" t="s">
        <v>65</v>
      </c>
    </row>
    <row r="52" spans="1:29">
      <c r="A52" s="81" t="s">
        <v>93</v>
      </c>
      <c r="B52" s="84">
        <v>46041</v>
      </c>
      <c r="C52" s="83">
        <v>46041</v>
      </c>
      <c r="D52" s="85" t="s">
        <v>160</v>
      </c>
      <c r="E52" s="86">
        <v>0.45833333333333331</v>
      </c>
      <c r="F52" s="86">
        <v>0.54166666666666663</v>
      </c>
      <c r="G52" s="86">
        <v>3.4722222222222218E-4</v>
      </c>
      <c r="H52" s="81" t="s">
        <v>180</v>
      </c>
      <c r="I52" s="87" t="s">
        <v>145</v>
      </c>
      <c r="J52" s="81" t="s">
        <v>136</v>
      </c>
      <c r="K52" s="81"/>
      <c r="L52" s="81">
        <v>1</v>
      </c>
      <c r="M52" s="81">
        <v>69721</v>
      </c>
      <c r="N52" s="81" t="s">
        <v>71</v>
      </c>
      <c r="O52" s="81" t="s">
        <v>161</v>
      </c>
      <c r="P52" s="91">
        <v>0</v>
      </c>
      <c r="Q52" s="81"/>
      <c r="R52" s="91">
        <v>0</v>
      </c>
      <c r="S52" s="89">
        <v>46023</v>
      </c>
      <c r="T52" s="91">
        <v>0</v>
      </c>
      <c r="U52" s="90">
        <v>4</v>
      </c>
      <c r="V52" s="91">
        <v>0</v>
      </c>
      <c r="W52" s="81" t="s">
        <v>85</v>
      </c>
      <c r="X52" s="81" t="s">
        <v>76</v>
      </c>
      <c r="Y52" s="81" t="s">
        <v>6</v>
      </c>
      <c r="Z52" s="81" t="s">
        <v>57</v>
      </c>
      <c r="AA52" s="81" t="s">
        <v>32</v>
      </c>
      <c r="AB52" s="90" t="s">
        <v>162</v>
      </c>
      <c r="AC52" s="81" t="s">
        <v>65</v>
      </c>
    </row>
    <row r="53" spans="1:29">
      <c r="A53" s="81" t="s">
        <v>93</v>
      </c>
      <c r="B53" s="84">
        <v>46036</v>
      </c>
      <c r="C53" s="83">
        <v>46036</v>
      </c>
      <c r="D53" s="85" t="s">
        <v>164</v>
      </c>
      <c r="E53" s="86">
        <v>0.45833333333333331</v>
      </c>
      <c r="F53" s="86">
        <v>0.54166666666666663</v>
      </c>
      <c r="G53" s="86">
        <v>3.4722222222222218E-4</v>
      </c>
      <c r="H53" s="81" t="s">
        <v>180</v>
      </c>
      <c r="I53" s="87" t="s">
        <v>146</v>
      </c>
      <c r="J53" s="81" t="s">
        <v>136</v>
      </c>
      <c r="K53" s="81"/>
      <c r="L53" s="81">
        <v>1</v>
      </c>
      <c r="M53" s="81">
        <v>69721</v>
      </c>
      <c r="N53" s="81" t="s">
        <v>71</v>
      </c>
      <c r="O53" s="81" t="s">
        <v>161</v>
      </c>
      <c r="P53" s="91">
        <v>0</v>
      </c>
      <c r="Q53" s="81"/>
      <c r="R53" s="91">
        <v>0</v>
      </c>
      <c r="S53" s="89">
        <v>46023</v>
      </c>
      <c r="T53" s="91">
        <v>0</v>
      </c>
      <c r="U53" s="90">
        <v>4</v>
      </c>
      <c r="V53" s="91">
        <v>0</v>
      </c>
      <c r="W53" s="81" t="s">
        <v>85</v>
      </c>
      <c r="X53" s="81" t="s">
        <v>76</v>
      </c>
      <c r="Y53" s="81" t="s">
        <v>6</v>
      </c>
      <c r="Z53" s="81" t="s">
        <v>57</v>
      </c>
      <c r="AA53" s="81" t="s">
        <v>32</v>
      </c>
      <c r="AB53" s="90" t="s">
        <v>162</v>
      </c>
      <c r="AC53" s="81" t="s">
        <v>65</v>
      </c>
    </row>
    <row r="54" spans="1:29">
      <c r="A54" s="81" t="s">
        <v>93</v>
      </c>
      <c r="B54" s="84">
        <v>46038</v>
      </c>
      <c r="C54" s="83">
        <v>46038</v>
      </c>
      <c r="D54" s="85" t="s">
        <v>166</v>
      </c>
      <c r="E54" s="86">
        <v>0.45833333333333331</v>
      </c>
      <c r="F54" s="86">
        <v>0.54166666666666663</v>
      </c>
      <c r="G54" s="86">
        <v>3.4722222222222218E-4</v>
      </c>
      <c r="H54" s="81" t="s">
        <v>180</v>
      </c>
      <c r="I54" s="87" t="s">
        <v>146</v>
      </c>
      <c r="J54" s="81" t="s">
        <v>136</v>
      </c>
      <c r="K54" s="81"/>
      <c r="L54" s="81">
        <v>1</v>
      </c>
      <c r="M54" s="81">
        <v>69721</v>
      </c>
      <c r="N54" s="81" t="s">
        <v>71</v>
      </c>
      <c r="O54" s="81" t="s">
        <v>161</v>
      </c>
      <c r="P54" s="91">
        <v>0</v>
      </c>
      <c r="Q54" s="81"/>
      <c r="R54" s="91">
        <v>0</v>
      </c>
      <c r="S54" s="89">
        <v>46023</v>
      </c>
      <c r="T54" s="91">
        <v>0</v>
      </c>
      <c r="U54" s="90">
        <v>4</v>
      </c>
      <c r="V54" s="91">
        <v>0</v>
      </c>
      <c r="W54" s="81" t="s">
        <v>85</v>
      </c>
      <c r="X54" s="81" t="s">
        <v>76</v>
      </c>
      <c r="Y54" s="81" t="s">
        <v>6</v>
      </c>
      <c r="Z54" s="81" t="s">
        <v>57</v>
      </c>
      <c r="AA54" s="81" t="s">
        <v>32</v>
      </c>
      <c r="AB54" s="90" t="s">
        <v>162</v>
      </c>
      <c r="AC54" s="81" t="s">
        <v>65</v>
      </c>
    </row>
    <row r="55" spans="1:29">
      <c r="A55" s="81" t="s">
        <v>93</v>
      </c>
      <c r="B55" s="84">
        <v>46035</v>
      </c>
      <c r="C55" s="83">
        <v>46035</v>
      </c>
      <c r="D55" s="85" t="s">
        <v>163</v>
      </c>
      <c r="E55" s="86">
        <v>0.45833333333333331</v>
      </c>
      <c r="F55" s="86">
        <v>0.54166666666666663</v>
      </c>
      <c r="G55" s="86">
        <v>3.4722222222222218E-4</v>
      </c>
      <c r="H55" s="81" t="s">
        <v>180</v>
      </c>
      <c r="I55" s="87" t="s">
        <v>147</v>
      </c>
      <c r="J55" s="81" t="s">
        <v>136</v>
      </c>
      <c r="K55" s="81"/>
      <c r="L55" s="81">
        <v>1</v>
      </c>
      <c r="M55" s="81">
        <v>69721</v>
      </c>
      <c r="N55" s="81" t="s">
        <v>71</v>
      </c>
      <c r="O55" s="81" t="s">
        <v>161</v>
      </c>
      <c r="P55" s="91">
        <v>0</v>
      </c>
      <c r="Q55" s="81"/>
      <c r="R55" s="91">
        <v>0</v>
      </c>
      <c r="S55" s="89">
        <v>46023</v>
      </c>
      <c r="T55" s="91">
        <v>0</v>
      </c>
      <c r="U55" s="90">
        <v>4</v>
      </c>
      <c r="V55" s="91">
        <v>0</v>
      </c>
      <c r="W55" s="81" t="s">
        <v>85</v>
      </c>
      <c r="X55" s="81" t="s">
        <v>76</v>
      </c>
      <c r="Y55" s="81" t="s">
        <v>6</v>
      </c>
      <c r="Z55" s="81" t="s">
        <v>57</v>
      </c>
      <c r="AA55" s="81" t="s">
        <v>32</v>
      </c>
      <c r="AB55" s="90" t="s">
        <v>162</v>
      </c>
      <c r="AC55" s="81" t="s">
        <v>65</v>
      </c>
    </row>
    <row r="56" spans="1:29">
      <c r="A56" s="81" t="s">
        <v>93</v>
      </c>
      <c r="B56" s="84">
        <v>46047</v>
      </c>
      <c r="C56" s="83">
        <v>46047</v>
      </c>
      <c r="D56" s="85" t="s">
        <v>169</v>
      </c>
      <c r="E56" s="86">
        <v>0.45833333333333331</v>
      </c>
      <c r="F56" s="86">
        <v>0.54166666666666663</v>
      </c>
      <c r="G56" s="86">
        <v>3.4722222222222218E-4</v>
      </c>
      <c r="H56" s="81" t="s">
        <v>180</v>
      </c>
      <c r="I56" s="87" t="s">
        <v>147</v>
      </c>
      <c r="J56" s="81" t="s">
        <v>136</v>
      </c>
      <c r="K56" s="81"/>
      <c r="L56" s="81">
        <v>1</v>
      </c>
      <c r="M56" s="81">
        <v>69721</v>
      </c>
      <c r="N56" s="81" t="s">
        <v>71</v>
      </c>
      <c r="O56" s="81" t="s">
        <v>161</v>
      </c>
      <c r="P56" s="91">
        <v>0</v>
      </c>
      <c r="Q56" s="81"/>
      <c r="R56" s="91">
        <v>0</v>
      </c>
      <c r="S56" s="89">
        <v>46023</v>
      </c>
      <c r="T56" s="91">
        <v>0</v>
      </c>
      <c r="U56" s="90">
        <v>4</v>
      </c>
      <c r="V56" s="91">
        <v>0</v>
      </c>
      <c r="W56" s="81" t="s">
        <v>85</v>
      </c>
      <c r="X56" s="81" t="s">
        <v>76</v>
      </c>
      <c r="Y56" s="81" t="s">
        <v>6</v>
      </c>
      <c r="Z56" s="81" t="s">
        <v>57</v>
      </c>
      <c r="AA56" s="81" t="s">
        <v>32</v>
      </c>
      <c r="AB56" s="90" t="s">
        <v>162</v>
      </c>
      <c r="AC56" s="81" t="s">
        <v>65</v>
      </c>
    </row>
    <row r="57" spans="1:29">
      <c r="A57" s="81" t="s">
        <v>93</v>
      </c>
      <c r="B57" s="84">
        <v>46046</v>
      </c>
      <c r="C57" s="83">
        <v>46046</v>
      </c>
      <c r="D57" s="85" t="s">
        <v>168</v>
      </c>
      <c r="E57" s="86">
        <v>0.45833333333333331</v>
      </c>
      <c r="F57" s="86">
        <v>0.54166666666666663</v>
      </c>
      <c r="G57" s="86">
        <v>3.4722222222222218E-4</v>
      </c>
      <c r="H57" s="81" t="s">
        <v>180</v>
      </c>
      <c r="I57" s="87" t="s">
        <v>148</v>
      </c>
      <c r="J57" s="81" t="s">
        <v>136</v>
      </c>
      <c r="K57" s="81"/>
      <c r="L57" s="81">
        <v>1</v>
      </c>
      <c r="M57" s="81">
        <v>69721</v>
      </c>
      <c r="N57" s="81" t="s">
        <v>71</v>
      </c>
      <c r="O57" s="81" t="s">
        <v>161</v>
      </c>
      <c r="P57" s="91">
        <v>0</v>
      </c>
      <c r="Q57" s="81"/>
      <c r="R57" s="91">
        <v>0</v>
      </c>
      <c r="S57" s="89">
        <v>46023</v>
      </c>
      <c r="T57" s="91">
        <v>0</v>
      </c>
      <c r="U57" s="90">
        <v>4</v>
      </c>
      <c r="V57" s="91">
        <v>0</v>
      </c>
      <c r="W57" s="81" t="s">
        <v>85</v>
      </c>
      <c r="X57" s="81" t="s">
        <v>76</v>
      </c>
      <c r="Y57" s="81" t="s">
        <v>6</v>
      </c>
      <c r="Z57" s="81" t="s">
        <v>57</v>
      </c>
      <c r="AA57" s="81" t="s">
        <v>32</v>
      </c>
      <c r="AB57" s="90" t="s">
        <v>162</v>
      </c>
      <c r="AC57" s="81" t="s">
        <v>65</v>
      </c>
    </row>
    <row r="58" spans="1:29">
      <c r="A58" s="81" t="s">
        <v>93</v>
      </c>
      <c r="B58" s="84">
        <v>46043</v>
      </c>
      <c r="C58" s="83">
        <v>46043</v>
      </c>
      <c r="D58" s="85" t="s">
        <v>164</v>
      </c>
      <c r="E58" s="86">
        <v>0.45833333333333331</v>
      </c>
      <c r="F58" s="86">
        <v>0.54166666666666663</v>
      </c>
      <c r="G58" s="86">
        <v>3.4722222222222218E-4</v>
      </c>
      <c r="H58" s="81" t="s">
        <v>180</v>
      </c>
      <c r="I58" s="87" t="s">
        <v>149</v>
      </c>
      <c r="J58" s="81" t="s">
        <v>136</v>
      </c>
      <c r="K58" s="81"/>
      <c r="L58" s="81">
        <v>1</v>
      </c>
      <c r="M58" s="81">
        <v>69721</v>
      </c>
      <c r="N58" s="81" t="s">
        <v>71</v>
      </c>
      <c r="O58" s="81" t="s">
        <v>161</v>
      </c>
      <c r="P58" s="91">
        <v>0</v>
      </c>
      <c r="Q58" s="81"/>
      <c r="R58" s="91">
        <v>0</v>
      </c>
      <c r="S58" s="89">
        <v>46023</v>
      </c>
      <c r="T58" s="91">
        <v>0</v>
      </c>
      <c r="U58" s="90">
        <v>4</v>
      </c>
      <c r="V58" s="91">
        <v>0</v>
      </c>
      <c r="W58" s="81" t="s">
        <v>85</v>
      </c>
      <c r="X58" s="81" t="s">
        <v>76</v>
      </c>
      <c r="Y58" s="81" t="s">
        <v>6</v>
      </c>
      <c r="Z58" s="81" t="s">
        <v>57</v>
      </c>
      <c r="AA58" s="81" t="s">
        <v>32</v>
      </c>
      <c r="AB58" s="90" t="s">
        <v>162</v>
      </c>
      <c r="AC58" s="81" t="s">
        <v>65</v>
      </c>
    </row>
    <row r="59" spans="1:29">
      <c r="A59" s="81" t="s">
        <v>93</v>
      </c>
      <c r="B59" s="84">
        <v>46035</v>
      </c>
      <c r="C59" s="83">
        <v>46035</v>
      </c>
      <c r="D59" s="85" t="s">
        <v>163</v>
      </c>
      <c r="E59" s="86">
        <v>0.45833333333333331</v>
      </c>
      <c r="F59" s="86">
        <v>0.54166666666666663</v>
      </c>
      <c r="G59" s="86">
        <v>3.4722222222222218E-4</v>
      </c>
      <c r="H59" s="81" t="s">
        <v>180</v>
      </c>
      <c r="I59" s="87" t="s">
        <v>135</v>
      </c>
      <c r="J59" s="81" t="s">
        <v>136</v>
      </c>
      <c r="K59" s="81"/>
      <c r="L59" s="81">
        <v>1</v>
      </c>
      <c r="M59" s="81">
        <v>69722</v>
      </c>
      <c r="N59" s="81" t="s">
        <v>33</v>
      </c>
      <c r="O59" s="81" t="s">
        <v>161</v>
      </c>
      <c r="P59" s="91">
        <v>46</v>
      </c>
      <c r="Q59" s="81"/>
      <c r="R59" s="91">
        <v>46</v>
      </c>
      <c r="S59" s="89">
        <v>46023</v>
      </c>
      <c r="T59" s="91">
        <v>6.8999999999999995</v>
      </c>
      <c r="U59" s="90">
        <v>4</v>
      </c>
      <c r="V59" s="91">
        <v>39.1</v>
      </c>
      <c r="W59" s="81" t="s">
        <v>85</v>
      </c>
      <c r="X59" s="81" t="s">
        <v>76</v>
      </c>
      <c r="Y59" s="81" t="s">
        <v>6</v>
      </c>
      <c r="Z59" s="81" t="s">
        <v>57</v>
      </c>
      <c r="AA59" s="81" t="s">
        <v>32</v>
      </c>
      <c r="AB59" s="90" t="s">
        <v>162</v>
      </c>
      <c r="AC59" s="81" t="s">
        <v>65</v>
      </c>
    </row>
    <row r="60" spans="1:29">
      <c r="A60" s="81" t="s">
        <v>93</v>
      </c>
      <c r="B60" s="84">
        <v>46042</v>
      </c>
      <c r="C60" s="83">
        <v>46042</v>
      </c>
      <c r="D60" s="85" t="s">
        <v>163</v>
      </c>
      <c r="E60" s="86">
        <v>0.45833333333333331</v>
      </c>
      <c r="F60" s="86">
        <v>0.54166666666666663</v>
      </c>
      <c r="G60" s="86">
        <v>3.4722222222222218E-4</v>
      </c>
      <c r="H60" s="81" t="s">
        <v>180</v>
      </c>
      <c r="I60" s="87" t="s">
        <v>135</v>
      </c>
      <c r="J60" s="81" t="s">
        <v>136</v>
      </c>
      <c r="K60" s="81"/>
      <c r="L60" s="81">
        <v>1</v>
      </c>
      <c r="M60" s="81">
        <v>69722</v>
      </c>
      <c r="N60" s="81" t="s">
        <v>33</v>
      </c>
      <c r="O60" s="81" t="s">
        <v>161</v>
      </c>
      <c r="P60" s="91">
        <v>46</v>
      </c>
      <c r="Q60" s="81"/>
      <c r="R60" s="91">
        <v>46</v>
      </c>
      <c r="S60" s="89">
        <v>46023</v>
      </c>
      <c r="T60" s="91">
        <v>6.8999999999999995</v>
      </c>
      <c r="U60" s="90">
        <v>4</v>
      </c>
      <c r="V60" s="91">
        <v>39.1</v>
      </c>
      <c r="W60" s="81" t="s">
        <v>85</v>
      </c>
      <c r="X60" s="81" t="s">
        <v>76</v>
      </c>
      <c r="Y60" s="81" t="s">
        <v>6</v>
      </c>
      <c r="Z60" s="81" t="s">
        <v>57</v>
      </c>
      <c r="AA60" s="81" t="s">
        <v>32</v>
      </c>
      <c r="AB60" s="90" t="s">
        <v>162</v>
      </c>
      <c r="AC60" s="81" t="s">
        <v>65</v>
      </c>
    </row>
    <row r="61" spans="1:29">
      <c r="A61" s="81" t="s">
        <v>93</v>
      </c>
      <c r="B61" s="84">
        <v>46034</v>
      </c>
      <c r="C61" s="83">
        <v>46034</v>
      </c>
      <c r="D61" s="85" t="s">
        <v>160</v>
      </c>
      <c r="E61" s="86">
        <v>0.45833333333333331</v>
      </c>
      <c r="F61" s="86">
        <v>0.54166666666666663</v>
      </c>
      <c r="G61" s="86">
        <v>3.4722222222222218E-4</v>
      </c>
      <c r="H61" s="81" t="s">
        <v>180</v>
      </c>
      <c r="I61" s="87" t="s">
        <v>137</v>
      </c>
      <c r="J61" s="81" t="s">
        <v>136</v>
      </c>
      <c r="K61" s="81"/>
      <c r="L61" s="81">
        <v>1</v>
      </c>
      <c r="M61" s="81">
        <v>69722</v>
      </c>
      <c r="N61" s="81" t="s">
        <v>33</v>
      </c>
      <c r="O61" s="81" t="s">
        <v>161</v>
      </c>
      <c r="P61" s="91">
        <v>46</v>
      </c>
      <c r="Q61" s="81"/>
      <c r="R61" s="91">
        <v>46</v>
      </c>
      <c r="S61" s="89">
        <v>46023</v>
      </c>
      <c r="T61" s="91">
        <v>6.8999999999999995</v>
      </c>
      <c r="U61" s="90">
        <v>4</v>
      </c>
      <c r="V61" s="91">
        <v>39.1</v>
      </c>
      <c r="W61" s="81" t="s">
        <v>85</v>
      </c>
      <c r="X61" s="81" t="s">
        <v>76</v>
      </c>
      <c r="Y61" s="81" t="s">
        <v>6</v>
      </c>
      <c r="Z61" s="81" t="s">
        <v>57</v>
      </c>
      <c r="AA61" s="81" t="s">
        <v>32</v>
      </c>
      <c r="AB61" s="90" t="s">
        <v>162</v>
      </c>
      <c r="AC61" s="81" t="s">
        <v>65</v>
      </c>
    </row>
    <row r="62" spans="1:29">
      <c r="A62" s="81" t="s">
        <v>93</v>
      </c>
      <c r="B62" s="84">
        <v>46037</v>
      </c>
      <c r="C62" s="83">
        <v>46037</v>
      </c>
      <c r="D62" s="85" t="s">
        <v>165</v>
      </c>
      <c r="E62" s="86">
        <v>0.45833333333333331</v>
      </c>
      <c r="F62" s="86">
        <v>0.54166666666666663</v>
      </c>
      <c r="G62" s="86">
        <v>3.4722222222222218E-4</v>
      </c>
      <c r="H62" s="81" t="s">
        <v>180</v>
      </c>
      <c r="I62" s="87" t="s">
        <v>137</v>
      </c>
      <c r="J62" s="81" t="s">
        <v>136</v>
      </c>
      <c r="K62" s="81"/>
      <c r="L62" s="81">
        <v>1</v>
      </c>
      <c r="M62" s="81">
        <v>69722</v>
      </c>
      <c r="N62" s="81" t="s">
        <v>33</v>
      </c>
      <c r="O62" s="81" t="s">
        <v>161</v>
      </c>
      <c r="P62" s="91">
        <v>46</v>
      </c>
      <c r="Q62" s="81"/>
      <c r="R62" s="91">
        <v>46</v>
      </c>
      <c r="S62" s="89">
        <v>46023</v>
      </c>
      <c r="T62" s="91">
        <v>6.8999999999999995</v>
      </c>
      <c r="U62" s="90">
        <v>4</v>
      </c>
      <c r="V62" s="91">
        <v>39.1</v>
      </c>
      <c r="W62" s="81" t="s">
        <v>85</v>
      </c>
      <c r="X62" s="81" t="s">
        <v>76</v>
      </c>
      <c r="Y62" s="81" t="s">
        <v>6</v>
      </c>
      <c r="Z62" s="81" t="s">
        <v>57</v>
      </c>
      <c r="AA62" s="81" t="s">
        <v>32</v>
      </c>
      <c r="AB62" s="90" t="s">
        <v>162</v>
      </c>
      <c r="AC62" s="81" t="s">
        <v>65</v>
      </c>
    </row>
    <row r="63" spans="1:29">
      <c r="A63" s="81" t="s">
        <v>93</v>
      </c>
      <c r="B63" s="84">
        <v>46043</v>
      </c>
      <c r="C63" s="83">
        <v>46043</v>
      </c>
      <c r="D63" s="85" t="s">
        <v>164</v>
      </c>
      <c r="E63" s="86">
        <v>0.45833333333333331</v>
      </c>
      <c r="F63" s="86">
        <v>0.54166666666666663</v>
      </c>
      <c r="G63" s="86">
        <v>3.4722222222222218E-4</v>
      </c>
      <c r="H63" s="81" t="s">
        <v>180</v>
      </c>
      <c r="I63" s="87" t="s">
        <v>137</v>
      </c>
      <c r="J63" s="81" t="s">
        <v>136</v>
      </c>
      <c r="K63" s="81"/>
      <c r="L63" s="81">
        <v>1</v>
      </c>
      <c r="M63" s="81">
        <v>69722</v>
      </c>
      <c r="N63" s="81" t="s">
        <v>33</v>
      </c>
      <c r="O63" s="81" t="s">
        <v>161</v>
      </c>
      <c r="P63" s="91">
        <v>46</v>
      </c>
      <c r="Q63" s="81"/>
      <c r="R63" s="91">
        <v>46</v>
      </c>
      <c r="S63" s="89">
        <v>46023</v>
      </c>
      <c r="T63" s="91">
        <v>6.8999999999999995</v>
      </c>
      <c r="U63" s="90">
        <v>4</v>
      </c>
      <c r="V63" s="91">
        <v>39.1</v>
      </c>
      <c r="W63" s="81" t="s">
        <v>85</v>
      </c>
      <c r="X63" s="81" t="s">
        <v>76</v>
      </c>
      <c r="Y63" s="81" t="s">
        <v>6</v>
      </c>
      <c r="Z63" s="81" t="s">
        <v>57</v>
      </c>
      <c r="AA63" s="81" t="s">
        <v>32</v>
      </c>
      <c r="AB63" s="90" t="s">
        <v>162</v>
      </c>
      <c r="AC63" s="81" t="s">
        <v>65</v>
      </c>
    </row>
    <row r="64" spans="1:29">
      <c r="A64" s="81" t="s">
        <v>93</v>
      </c>
      <c r="B64" s="84">
        <v>46045</v>
      </c>
      <c r="C64" s="83">
        <v>46045</v>
      </c>
      <c r="D64" s="85" t="s">
        <v>166</v>
      </c>
      <c r="E64" s="86">
        <v>0.45833333333333331</v>
      </c>
      <c r="F64" s="86">
        <v>0.54166666666666663</v>
      </c>
      <c r="G64" s="86">
        <v>3.4722222222222218E-4</v>
      </c>
      <c r="H64" s="81" t="s">
        <v>180</v>
      </c>
      <c r="I64" s="87" t="s">
        <v>137</v>
      </c>
      <c r="J64" s="81" t="s">
        <v>136</v>
      </c>
      <c r="K64" s="81"/>
      <c r="L64" s="81">
        <v>1</v>
      </c>
      <c r="M64" s="81">
        <v>69722</v>
      </c>
      <c r="N64" s="81" t="s">
        <v>33</v>
      </c>
      <c r="O64" s="81" t="s">
        <v>161</v>
      </c>
      <c r="P64" s="91">
        <v>46</v>
      </c>
      <c r="Q64" s="81"/>
      <c r="R64" s="91">
        <v>46</v>
      </c>
      <c r="S64" s="89">
        <v>46023</v>
      </c>
      <c r="T64" s="91">
        <v>6.8999999999999995</v>
      </c>
      <c r="U64" s="90">
        <v>4</v>
      </c>
      <c r="V64" s="91">
        <v>39.1</v>
      </c>
      <c r="W64" s="81" t="s">
        <v>85</v>
      </c>
      <c r="X64" s="81" t="s">
        <v>76</v>
      </c>
      <c r="Y64" s="81" t="s">
        <v>6</v>
      </c>
      <c r="Z64" s="81" t="s">
        <v>57</v>
      </c>
      <c r="AA64" s="81" t="s">
        <v>32</v>
      </c>
      <c r="AB64" s="90" t="s">
        <v>162</v>
      </c>
      <c r="AC64" s="81" t="s">
        <v>65</v>
      </c>
    </row>
    <row r="65" spans="1:29">
      <c r="A65" s="81" t="s">
        <v>93</v>
      </c>
      <c r="B65" s="84">
        <v>46035</v>
      </c>
      <c r="C65" s="83">
        <v>46035</v>
      </c>
      <c r="D65" s="85" t="s">
        <v>163</v>
      </c>
      <c r="E65" s="86">
        <v>0.45833333333333331</v>
      </c>
      <c r="F65" s="86">
        <v>0.54166666666666663</v>
      </c>
      <c r="G65" s="86">
        <v>3.4722222222222218E-4</v>
      </c>
      <c r="H65" s="81" t="s">
        <v>180</v>
      </c>
      <c r="I65" s="87" t="s">
        <v>140</v>
      </c>
      <c r="J65" s="81" t="s">
        <v>136</v>
      </c>
      <c r="K65" s="81"/>
      <c r="L65" s="81">
        <v>1</v>
      </c>
      <c r="M65" s="81">
        <v>69722</v>
      </c>
      <c r="N65" s="81" t="s">
        <v>33</v>
      </c>
      <c r="O65" s="81" t="s">
        <v>161</v>
      </c>
      <c r="P65" s="91">
        <v>46</v>
      </c>
      <c r="Q65" s="81"/>
      <c r="R65" s="91">
        <v>46</v>
      </c>
      <c r="S65" s="89">
        <v>46023</v>
      </c>
      <c r="T65" s="91">
        <v>6.8999999999999995</v>
      </c>
      <c r="U65" s="90">
        <v>4</v>
      </c>
      <c r="V65" s="91">
        <v>39.1</v>
      </c>
      <c r="W65" s="81" t="s">
        <v>85</v>
      </c>
      <c r="X65" s="81" t="s">
        <v>76</v>
      </c>
      <c r="Y65" s="81" t="s">
        <v>6</v>
      </c>
      <c r="Z65" s="81" t="s">
        <v>57</v>
      </c>
      <c r="AA65" s="81" t="s">
        <v>32</v>
      </c>
      <c r="AB65" s="90" t="s">
        <v>162</v>
      </c>
      <c r="AC65" s="81" t="s">
        <v>65</v>
      </c>
    </row>
    <row r="66" spans="1:29">
      <c r="A66" s="81" t="s">
        <v>93</v>
      </c>
      <c r="B66" s="84">
        <v>46042</v>
      </c>
      <c r="C66" s="83">
        <v>46042</v>
      </c>
      <c r="D66" s="85" t="s">
        <v>163</v>
      </c>
      <c r="E66" s="86">
        <v>0.45833333333333331</v>
      </c>
      <c r="F66" s="86">
        <v>0.54166666666666663</v>
      </c>
      <c r="G66" s="86">
        <v>3.4722222222222218E-4</v>
      </c>
      <c r="H66" s="81" t="s">
        <v>180</v>
      </c>
      <c r="I66" s="87" t="s">
        <v>140</v>
      </c>
      <c r="J66" s="81" t="s">
        <v>136</v>
      </c>
      <c r="K66" s="81"/>
      <c r="L66" s="81">
        <v>1</v>
      </c>
      <c r="M66" s="81">
        <v>69722</v>
      </c>
      <c r="N66" s="81" t="s">
        <v>33</v>
      </c>
      <c r="O66" s="81" t="s">
        <v>161</v>
      </c>
      <c r="P66" s="91">
        <v>46</v>
      </c>
      <c r="Q66" s="81"/>
      <c r="R66" s="91">
        <v>46</v>
      </c>
      <c r="S66" s="89">
        <v>46023</v>
      </c>
      <c r="T66" s="91">
        <v>6.8999999999999995</v>
      </c>
      <c r="U66" s="90">
        <v>4</v>
      </c>
      <c r="V66" s="91">
        <v>39.1</v>
      </c>
      <c r="W66" s="81" t="s">
        <v>85</v>
      </c>
      <c r="X66" s="81" t="s">
        <v>76</v>
      </c>
      <c r="Y66" s="81" t="s">
        <v>6</v>
      </c>
      <c r="Z66" s="81" t="s">
        <v>57</v>
      </c>
      <c r="AA66" s="81" t="s">
        <v>32</v>
      </c>
      <c r="AB66" s="90" t="s">
        <v>162</v>
      </c>
      <c r="AC66" s="81" t="s">
        <v>65</v>
      </c>
    </row>
    <row r="67" spans="1:29">
      <c r="A67" s="81" t="s">
        <v>93</v>
      </c>
      <c r="B67" s="84">
        <v>46034</v>
      </c>
      <c r="C67" s="83">
        <v>46034</v>
      </c>
      <c r="D67" s="85" t="s">
        <v>160</v>
      </c>
      <c r="E67" s="86">
        <v>0.45833333333333331</v>
      </c>
      <c r="F67" s="86">
        <v>0.54166666666666663</v>
      </c>
      <c r="G67" s="86">
        <v>3.4722222222222218E-4</v>
      </c>
      <c r="H67" s="81" t="s">
        <v>180</v>
      </c>
      <c r="I67" s="87" t="s">
        <v>142</v>
      </c>
      <c r="J67" s="81" t="s">
        <v>136</v>
      </c>
      <c r="K67" s="81"/>
      <c r="L67" s="81">
        <v>1</v>
      </c>
      <c r="M67" s="81">
        <v>69722</v>
      </c>
      <c r="N67" s="81" t="s">
        <v>33</v>
      </c>
      <c r="O67" s="81" t="s">
        <v>161</v>
      </c>
      <c r="P67" s="91">
        <v>46</v>
      </c>
      <c r="Q67" s="81"/>
      <c r="R67" s="91">
        <v>46</v>
      </c>
      <c r="S67" s="89">
        <v>46023</v>
      </c>
      <c r="T67" s="91">
        <v>6.8999999999999995</v>
      </c>
      <c r="U67" s="90">
        <v>4</v>
      </c>
      <c r="V67" s="91">
        <v>39.1</v>
      </c>
      <c r="W67" s="81" t="s">
        <v>85</v>
      </c>
      <c r="X67" s="81" t="s">
        <v>76</v>
      </c>
      <c r="Y67" s="81" t="s">
        <v>6</v>
      </c>
      <c r="Z67" s="81" t="s">
        <v>57</v>
      </c>
      <c r="AA67" s="81" t="s">
        <v>32</v>
      </c>
      <c r="AB67" s="90" t="s">
        <v>162</v>
      </c>
      <c r="AC67" s="81" t="s">
        <v>65</v>
      </c>
    </row>
    <row r="68" spans="1:29">
      <c r="A68" s="81" t="s">
        <v>93</v>
      </c>
      <c r="B68" s="84">
        <v>46043</v>
      </c>
      <c r="C68" s="83">
        <v>46043</v>
      </c>
      <c r="D68" s="85" t="s">
        <v>164</v>
      </c>
      <c r="E68" s="86">
        <v>0.45833333333333331</v>
      </c>
      <c r="F68" s="86">
        <v>0.54166666666666663</v>
      </c>
      <c r="G68" s="86">
        <v>3.4722222222222218E-4</v>
      </c>
      <c r="H68" s="81" t="s">
        <v>180</v>
      </c>
      <c r="I68" s="87" t="s">
        <v>142</v>
      </c>
      <c r="J68" s="81" t="s">
        <v>136</v>
      </c>
      <c r="K68" s="81"/>
      <c r="L68" s="81">
        <v>1</v>
      </c>
      <c r="M68" s="81">
        <v>69722</v>
      </c>
      <c r="N68" s="81" t="s">
        <v>33</v>
      </c>
      <c r="O68" s="81" t="s">
        <v>161</v>
      </c>
      <c r="P68" s="91">
        <v>46</v>
      </c>
      <c r="Q68" s="81"/>
      <c r="R68" s="91">
        <v>46</v>
      </c>
      <c r="S68" s="89">
        <v>46023</v>
      </c>
      <c r="T68" s="91">
        <v>6.8999999999999995</v>
      </c>
      <c r="U68" s="90">
        <v>4</v>
      </c>
      <c r="V68" s="91">
        <v>39.1</v>
      </c>
      <c r="W68" s="81" t="s">
        <v>85</v>
      </c>
      <c r="X68" s="81" t="s">
        <v>76</v>
      </c>
      <c r="Y68" s="81" t="s">
        <v>6</v>
      </c>
      <c r="Z68" s="81" t="s">
        <v>57</v>
      </c>
      <c r="AA68" s="81" t="s">
        <v>32</v>
      </c>
      <c r="AB68" s="90" t="s">
        <v>162</v>
      </c>
      <c r="AC68" s="81" t="s">
        <v>65</v>
      </c>
    </row>
    <row r="69" spans="1:29">
      <c r="A69" s="81" t="s">
        <v>93</v>
      </c>
      <c r="B69" s="84">
        <v>46034</v>
      </c>
      <c r="C69" s="83">
        <v>46034</v>
      </c>
      <c r="D69" s="85" t="s">
        <v>160</v>
      </c>
      <c r="E69" s="86">
        <v>0.45833333333333331</v>
      </c>
      <c r="F69" s="86">
        <v>0.54166666666666663</v>
      </c>
      <c r="G69" s="86">
        <v>3.4722222222222218E-4</v>
      </c>
      <c r="H69" s="81" t="s">
        <v>180</v>
      </c>
      <c r="I69" s="87" t="s">
        <v>145</v>
      </c>
      <c r="J69" s="81" t="s">
        <v>136</v>
      </c>
      <c r="K69" s="81"/>
      <c r="L69" s="81">
        <v>1</v>
      </c>
      <c r="M69" s="81">
        <v>69722</v>
      </c>
      <c r="N69" s="81" t="s">
        <v>33</v>
      </c>
      <c r="O69" s="81" t="s">
        <v>161</v>
      </c>
      <c r="P69" s="91">
        <v>46</v>
      </c>
      <c r="Q69" s="81"/>
      <c r="R69" s="91">
        <v>46</v>
      </c>
      <c r="S69" s="89">
        <v>46023</v>
      </c>
      <c r="T69" s="91">
        <v>6.8999999999999995</v>
      </c>
      <c r="U69" s="90">
        <v>4</v>
      </c>
      <c r="V69" s="91">
        <v>39.1</v>
      </c>
      <c r="W69" s="81" t="s">
        <v>85</v>
      </c>
      <c r="X69" s="81" t="s">
        <v>76</v>
      </c>
      <c r="Y69" s="81" t="s">
        <v>6</v>
      </c>
      <c r="Z69" s="81" t="s">
        <v>57</v>
      </c>
      <c r="AA69" s="81" t="s">
        <v>32</v>
      </c>
      <c r="AB69" s="90" t="s">
        <v>162</v>
      </c>
      <c r="AC69" s="81" t="s">
        <v>65</v>
      </c>
    </row>
    <row r="70" spans="1:29">
      <c r="A70" s="81" t="s">
        <v>93</v>
      </c>
      <c r="B70" s="84">
        <v>46035</v>
      </c>
      <c r="C70" s="83">
        <v>46035</v>
      </c>
      <c r="D70" s="85" t="s">
        <v>163</v>
      </c>
      <c r="E70" s="86">
        <v>0.45833333333333331</v>
      </c>
      <c r="F70" s="86">
        <v>0.54166666666666663</v>
      </c>
      <c r="G70" s="86">
        <v>3.4722222222222218E-4</v>
      </c>
      <c r="H70" s="81" t="s">
        <v>180</v>
      </c>
      <c r="I70" s="87" t="s">
        <v>145</v>
      </c>
      <c r="J70" s="81" t="s">
        <v>136</v>
      </c>
      <c r="K70" s="81"/>
      <c r="L70" s="81">
        <v>1</v>
      </c>
      <c r="M70" s="81">
        <v>69722</v>
      </c>
      <c r="N70" s="81" t="s">
        <v>33</v>
      </c>
      <c r="O70" s="81" t="s">
        <v>161</v>
      </c>
      <c r="P70" s="91">
        <v>46</v>
      </c>
      <c r="Q70" s="81"/>
      <c r="R70" s="91">
        <v>46</v>
      </c>
      <c r="S70" s="89">
        <v>46023</v>
      </c>
      <c r="T70" s="91">
        <v>6.8999999999999995</v>
      </c>
      <c r="U70" s="90">
        <v>4</v>
      </c>
      <c r="V70" s="91">
        <v>39.1</v>
      </c>
      <c r="W70" s="81" t="s">
        <v>85</v>
      </c>
      <c r="X70" s="81" t="s">
        <v>76</v>
      </c>
      <c r="Y70" s="81" t="s">
        <v>6</v>
      </c>
      <c r="Z70" s="81" t="s">
        <v>57</v>
      </c>
      <c r="AA70" s="81" t="s">
        <v>32</v>
      </c>
      <c r="AB70" s="90" t="s">
        <v>162</v>
      </c>
      <c r="AC70" s="81" t="s">
        <v>65</v>
      </c>
    </row>
    <row r="71" spans="1:29">
      <c r="A71" s="81" t="s">
        <v>93</v>
      </c>
      <c r="B71" s="84">
        <v>46037</v>
      </c>
      <c r="C71" s="83">
        <v>46037</v>
      </c>
      <c r="D71" s="85" t="s">
        <v>165</v>
      </c>
      <c r="E71" s="86">
        <v>0.45833333333333331</v>
      </c>
      <c r="F71" s="86">
        <v>0.54166666666666663</v>
      </c>
      <c r="G71" s="86">
        <v>3.4722222222222218E-4</v>
      </c>
      <c r="H71" s="81" t="s">
        <v>180</v>
      </c>
      <c r="I71" s="87" t="s">
        <v>145</v>
      </c>
      <c r="J71" s="81" t="s">
        <v>136</v>
      </c>
      <c r="K71" s="81"/>
      <c r="L71" s="81">
        <v>1</v>
      </c>
      <c r="M71" s="81">
        <v>69722</v>
      </c>
      <c r="N71" s="81" t="s">
        <v>33</v>
      </c>
      <c r="O71" s="81" t="s">
        <v>161</v>
      </c>
      <c r="P71" s="91">
        <v>46</v>
      </c>
      <c r="Q71" s="81"/>
      <c r="R71" s="91">
        <v>46</v>
      </c>
      <c r="S71" s="89">
        <v>46023</v>
      </c>
      <c r="T71" s="91">
        <v>6.8999999999999995</v>
      </c>
      <c r="U71" s="90">
        <v>4</v>
      </c>
      <c r="V71" s="91">
        <v>39.1</v>
      </c>
      <c r="W71" s="81" t="s">
        <v>85</v>
      </c>
      <c r="X71" s="81" t="s">
        <v>76</v>
      </c>
      <c r="Y71" s="81" t="s">
        <v>6</v>
      </c>
      <c r="Z71" s="81" t="s">
        <v>57</v>
      </c>
      <c r="AA71" s="81" t="s">
        <v>32</v>
      </c>
      <c r="AB71" s="90" t="s">
        <v>162</v>
      </c>
      <c r="AC71" s="81" t="s">
        <v>65</v>
      </c>
    </row>
    <row r="72" spans="1:29">
      <c r="A72" s="81" t="s">
        <v>93</v>
      </c>
      <c r="B72" s="84">
        <v>46042</v>
      </c>
      <c r="C72" s="83">
        <v>46042</v>
      </c>
      <c r="D72" s="85" t="s">
        <v>163</v>
      </c>
      <c r="E72" s="86">
        <v>0.45833333333333331</v>
      </c>
      <c r="F72" s="86">
        <v>0.54166666666666663</v>
      </c>
      <c r="G72" s="86">
        <v>3.4722222222222218E-4</v>
      </c>
      <c r="H72" s="81" t="s">
        <v>180</v>
      </c>
      <c r="I72" s="87" t="s">
        <v>145</v>
      </c>
      <c r="J72" s="81" t="s">
        <v>136</v>
      </c>
      <c r="K72" s="81"/>
      <c r="L72" s="81">
        <v>1</v>
      </c>
      <c r="M72" s="81">
        <v>69722</v>
      </c>
      <c r="N72" s="81" t="s">
        <v>33</v>
      </c>
      <c r="O72" s="81" t="s">
        <v>161</v>
      </c>
      <c r="P72" s="91">
        <v>46</v>
      </c>
      <c r="Q72" s="81"/>
      <c r="R72" s="91">
        <v>46</v>
      </c>
      <c r="S72" s="89">
        <v>46023</v>
      </c>
      <c r="T72" s="91">
        <v>6.8999999999999995</v>
      </c>
      <c r="U72" s="90">
        <v>4</v>
      </c>
      <c r="V72" s="91">
        <v>39.1</v>
      </c>
      <c r="W72" s="81" t="s">
        <v>85</v>
      </c>
      <c r="X72" s="81" t="s">
        <v>76</v>
      </c>
      <c r="Y72" s="81" t="s">
        <v>6</v>
      </c>
      <c r="Z72" s="81" t="s">
        <v>57</v>
      </c>
      <c r="AA72" s="81" t="s">
        <v>32</v>
      </c>
      <c r="AB72" s="90" t="s">
        <v>162</v>
      </c>
      <c r="AC72" s="81" t="s">
        <v>65</v>
      </c>
    </row>
    <row r="73" spans="1:29">
      <c r="A73" s="81" t="s">
        <v>93</v>
      </c>
      <c r="B73" s="84">
        <v>46043</v>
      </c>
      <c r="C73" s="83">
        <v>46043</v>
      </c>
      <c r="D73" s="85" t="s">
        <v>164</v>
      </c>
      <c r="E73" s="86">
        <v>0.45833333333333331</v>
      </c>
      <c r="F73" s="86">
        <v>0.54166666666666663</v>
      </c>
      <c r="G73" s="86">
        <v>3.4722222222222218E-4</v>
      </c>
      <c r="H73" s="81" t="s">
        <v>180</v>
      </c>
      <c r="I73" s="87" t="s">
        <v>145</v>
      </c>
      <c r="J73" s="81" t="s">
        <v>136</v>
      </c>
      <c r="K73" s="81"/>
      <c r="L73" s="81">
        <v>1</v>
      </c>
      <c r="M73" s="81">
        <v>69722</v>
      </c>
      <c r="N73" s="81" t="s">
        <v>33</v>
      </c>
      <c r="O73" s="81" t="s">
        <v>161</v>
      </c>
      <c r="P73" s="91">
        <v>46</v>
      </c>
      <c r="Q73" s="81"/>
      <c r="R73" s="91">
        <v>46</v>
      </c>
      <c r="S73" s="89">
        <v>46023</v>
      </c>
      <c r="T73" s="91">
        <v>6.8999999999999995</v>
      </c>
      <c r="U73" s="90">
        <v>4</v>
      </c>
      <c r="V73" s="91">
        <v>39.1</v>
      </c>
      <c r="W73" s="81" t="s">
        <v>85</v>
      </c>
      <c r="X73" s="81" t="s">
        <v>76</v>
      </c>
      <c r="Y73" s="81" t="s">
        <v>6</v>
      </c>
      <c r="Z73" s="81" t="s">
        <v>57</v>
      </c>
      <c r="AA73" s="81" t="s">
        <v>32</v>
      </c>
      <c r="AB73" s="90" t="s">
        <v>162</v>
      </c>
      <c r="AC73" s="81" t="s">
        <v>65</v>
      </c>
    </row>
    <row r="74" spans="1:29">
      <c r="A74" s="81" t="s">
        <v>93</v>
      </c>
      <c r="B74" s="84">
        <v>46045</v>
      </c>
      <c r="C74" s="83">
        <v>46045</v>
      </c>
      <c r="D74" s="85" t="s">
        <v>166</v>
      </c>
      <c r="E74" s="86">
        <v>0.45833333333333331</v>
      </c>
      <c r="F74" s="86">
        <v>0.54166666666666663</v>
      </c>
      <c r="G74" s="86">
        <v>3.4722222222222218E-4</v>
      </c>
      <c r="H74" s="81" t="s">
        <v>180</v>
      </c>
      <c r="I74" s="87" t="s">
        <v>145</v>
      </c>
      <c r="J74" s="81" t="s">
        <v>136</v>
      </c>
      <c r="K74" s="81"/>
      <c r="L74" s="81">
        <v>1</v>
      </c>
      <c r="M74" s="81">
        <v>69722</v>
      </c>
      <c r="N74" s="81" t="s">
        <v>33</v>
      </c>
      <c r="O74" s="81" t="s">
        <v>161</v>
      </c>
      <c r="P74" s="91">
        <v>46</v>
      </c>
      <c r="Q74" s="81"/>
      <c r="R74" s="91">
        <v>46</v>
      </c>
      <c r="S74" s="89">
        <v>46023</v>
      </c>
      <c r="T74" s="91">
        <v>6.8999999999999995</v>
      </c>
      <c r="U74" s="90">
        <v>4</v>
      </c>
      <c r="V74" s="91">
        <v>39.1</v>
      </c>
      <c r="W74" s="81" t="s">
        <v>85</v>
      </c>
      <c r="X74" s="81" t="s">
        <v>76</v>
      </c>
      <c r="Y74" s="81" t="s">
        <v>6</v>
      </c>
      <c r="Z74" s="81" t="s">
        <v>57</v>
      </c>
      <c r="AA74" s="81" t="s">
        <v>32</v>
      </c>
      <c r="AB74" s="90" t="s">
        <v>162</v>
      </c>
      <c r="AC74" s="81" t="s">
        <v>65</v>
      </c>
    </row>
    <row r="75" spans="1:29">
      <c r="A75" s="81" t="s">
        <v>93</v>
      </c>
      <c r="B75" s="84">
        <v>46034</v>
      </c>
      <c r="C75" s="83">
        <v>46034</v>
      </c>
      <c r="D75" s="85" t="s">
        <v>160</v>
      </c>
      <c r="E75" s="86">
        <v>0.45833333333333331</v>
      </c>
      <c r="F75" s="86">
        <v>0.54166666666666663</v>
      </c>
      <c r="G75" s="86">
        <v>3.4722222222222218E-4</v>
      </c>
      <c r="H75" s="81" t="s">
        <v>180</v>
      </c>
      <c r="I75" s="87" t="s">
        <v>148</v>
      </c>
      <c r="J75" s="81" t="s">
        <v>136</v>
      </c>
      <c r="K75" s="81"/>
      <c r="L75" s="81">
        <v>1</v>
      </c>
      <c r="M75" s="81">
        <v>69722</v>
      </c>
      <c r="N75" s="81" t="s">
        <v>33</v>
      </c>
      <c r="O75" s="81" t="s">
        <v>161</v>
      </c>
      <c r="P75" s="91">
        <v>46</v>
      </c>
      <c r="Q75" s="81"/>
      <c r="R75" s="91">
        <v>46</v>
      </c>
      <c r="S75" s="89">
        <v>46023</v>
      </c>
      <c r="T75" s="91">
        <v>6.8999999999999995</v>
      </c>
      <c r="U75" s="90">
        <v>4</v>
      </c>
      <c r="V75" s="91">
        <v>39.1</v>
      </c>
      <c r="W75" s="81" t="s">
        <v>85</v>
      </c>
      <c r="X75" s="81" t="s">
        <v>76</v>
      </c>
      <c r="Y75" s="81" t="s">
        <v>6</v>
      </c>
      <c r="Z75" s="81" t="s">
        <v>57</v>
      </c>
      <c r="AA75" s="81" t="s">
        <v>32</v>
      </c>
      <c r="AB75" s="90" t="s">
        <v>162</v>
      </c>
      <c r="AC75" s="81" t="s">
        <v>65</v>
      </c>
    </row>
    <row r="76" spans="1:29">
      <c r="A76" s="81" t="s">
        <v>93</v>
      </c>
      <c r="B76" s="84">
        <v>46035</v>
      </c>
      <c r="C76" s="83">
        <v>46035</v>
      </c>
      <c r="D76" s="85" t="s">
        <v>163</v>
      </c>
      <c r="E76" s="86">
        <v>0.45833333333333331</v>
      </c>
      <c r="F76" s="86">
        <v>0.54166666666666663</v>
      </c>
      <c r="G76" s="86">
        <v>3.4722222222222218E-4</v>
      </c>
      <c r="H76" s="81" t="s">
        <v>180</v>
      </c>
      <c r="I76" s="87" t="s">
        <v>148</v>
      </c>
      <c r="J76" s="81" t="s">
        <v>136</v>
      </c>
      <c r="K76" s="81"/>
      <c r="L76" s="81">
        <v>1</v>
      </c>
      <c r="M76" s="81">
        <v>69722</v>
      </c>
      <c r="N76" s="81" t="s">
        <v>33</v>
      </c>
      <c r="O76" s="81" t="s">
        <v>161</v>
      </c>
      <c r="P76" s="91">
        <v>46</v>
      </c>
      <c r="Q76" s="81"/>
      <c r="R76" s="91">
        <v>46</v>
      </c>
      <c r="S76" s="89">
        <v>46023</v>
      </c>
      <c r="T76" s="91">
        <v>6.8999999999999995</v>
      </c>
      <c r="U76" s="90">
        <v>4</v>
      </c>
      <c r="V76" s="91">
        <v>39.1</v>
      </c>
      <c r="W76" s="81" t="s">
        <v>85</v>
      </c>
      <c r="X76" s="81" t="s">
        <v>76</v>
      </c>
      <c r="Y76" s="81" t="s">
        <v>6</v>
      </c>
      <c r="Z76" s="81" t="s">
        <v>57</v>
      </c>
      <c r="AA76" s="81" t="s">
        <v>32</v>
      </c>
      <c r="AB76" s="90" t="s">
        <v>162</v>
      </c>
      <c r="AC76" s="81" t="s">
        <v>65</v>
      </c>
    </row>
    <row r="77" spans="1:29">
      <c r="A77" s="81" t="s">
        <v>93</v>
      </c>
      <c r="B77" s="84">
        <v>46042</v>
      </c>
      <c r="C77" s="83">
        <v>46042</v>
      </c>
      <c r="D77" s="85" t="s">
        <v>163</v>
      </c>
      <c r="E77" s="86">
        <v>0.45833333333333331</v>
      </c>
      <c r="F77" s="86">
        <v>0.54166666666666663</v>
      </c>
      <c r="G77" s="86">
        <v>3.4722222222222218E-4</v>
      </c>
      <c r="H77" s="81" t="s">
        <v>180</v>
      </c>
      <c r="I77" s="87" t="s">
        <v>148</v>
      </c>
      <c r="J77" s="81" t="s">
        <v>136</v>
      </c>
      <c r="K77" s="81"/>
      <c r="L77" s="81">
        <v>1</v>
      </c>
      <c r="M77" s="81">
        <v>69722</v>
      </c>
      <c r="N77" s="81" t="s">
        <v>33</v>
      </c>
      <c r="O77" s="81" t="s">
        <v>161</v>
      </c>
      <c r="P77" s="91">
        <v>46</v>
      </c>
      <c r="Q77" s="81"/>
      <c r="R77" s="91">
        <v>46</v>
      </c>
      <c r="S77" s="89">
        <v>46023</v>
      </c>
      <c r="T77" s="91">
        <v>6.8999999999999995</v>
      </c>
      <c r="U77" s="90">
        <v>4</v>
      </c>
      <c r="V77" s="91">
        <v>39.1</v>
      </c>
      <c r="W77" s="81" t="s">
        <v>85</v>
      </c>
      <c r="X77" s="81" t="s">
        <v>76</v>
      </c>
      <c r="Y77" s="81" t="s">
        <v>6</v>
      </c>
      <c r="Z77" s="81" t="s">
        <v>57</v>
      </c>
      <c r="AA77" s="81" t="s">
        <v>32</v>
      </c>
      <c r="AB77" s="90" t="s">
        <v>162</v>
      </c>
      <c r="AC77" s="81" t="s">
        <v>65</v>
      </c>
    </row>
    <row r="78" spans="1:29">
      <c r="A78" s="81" t="s">
        <v>93</v>
      </c>
      <c r="B78" s="84">
        <v>46043</v>
      </c>
      <c r="C78" s="83">
        <v>46043</v>
      </c>
      <c r="D78" s="85" t="s">
        <v>164</v>
      </c>
      <c r="E78" s="86">
        <v>0.45833333333333331</v>
      </c>
      <c r="F78" s="86">
        <v>0.54166666666666663</v>
      </c>
      <c r="G78" s="86">
        <v>3.4722222222222218E-4</v>
      </c>
      <c r="H78" s="81" t="s">
        <v>180</v>
      </c>
      <c r="I78" s="87" t="s">
        <v>148</v>
      </c>
      <c r="J78" s="81" t="s">
        <v>136</v>
      </c>
      <c r="K78" s="81"/>
      <c r="L78" s="81">
        <v>1</v>
      </c>
      <c r="M78" s="81">
        <v>69722</v>
      </c>
      <c r="N78" s="81" t="s">
        <v>33</v>
      </c>
      <c r="O78" s="81" t="s">
        <v>161</v>
      </c>
      <c r="P78" s="91">
        <v>46</v>
      </c>
      <c r="Q78" s="81"/>
      <c r="R78" s="91">
        <v>46</v>
      </c>
      <c r="S78" s="89">
        <v>46023</v>
      </c>
      <c r="T78" s="91">
        <v>6.8999999999999995</v>
      </c>
      <c r="U78" s="90">
        <v>4</v>
      </c>
      <c r="V78" s="91">
        <v>39.1</v>
      </c>
      <c r="W78" s="81" t="s">
        <v>85</v>
      </c>
      <c r="X78" s="81" t="s">
        <v>76</v>
      </c>
      <c r="Y78" s="81" t="s">
        <v>6</v>
      </c>
      <c r="Z78" s="81" t="s">
        <v>57</v>
      </c>
      <c r="AA78" s="81" t="s">
        <v>32</v>
      </c>
      <c r="AB78" s="90" t="s">
        <v>162</v>
      </c>
      <c r="AC78" s="81" t="s">
        <v>65</v>
      </c>
    </row>
    <row r="79" spans="1:29">
      <c r="A79" s="81" t="s">
        <v>93</v>
      </c>
      <c r="B79" s="84">
        <v>46045</v>
      </c>
      <c r="C79" s="83">
        <v>46045</v>
      </c>
      <c r="D79" s="85" t="s">
        <v>166</v>
      </c>
      <c r="E79" s="86">
        <v>0.45833333333333331</v>
      </c>
      <c r="F79" s="86">
        <v>0.54166666666666663</v>
      </c>
      <c r="G79" s="86">
        <v>3.4722222222222218E-4</v>
      </c>
      <c r="H79" s="81" t="s">
        <v>180</v>
      </c>
      <c r="I79" s="87" t="s">
        <v>148</v>
      </c>
      <c r="J79" s="81" t="s">
        <v>136</v>
      </c>
      <c r="K79" s="81"/>
      <c r="L79" s="81">
        <v>1</v>
      </c>
      <c r="M79" s="81">
        <v>69722</v>
      </c>
      <c r="N79" s="81" t="s">
        <v>33</v>
      </c>
      <c r="O79" s="81" t="s">
        <v>161</v>
      </c>
      <c r="P79" s="91">
        <v>46</v>
      </c>
      <c r="Q79" s="81"/>
      <c r="R79" s="91">
        <v>46</v>
      </c>
      <c r="S79" s="89">
        <v>46023</v>
      </c>
      <c r="T79" s="91">
        <v>6.8999999999999995</v>
      </c>
      <c r="U79" s="90">
        <v>4</v>
      </c>
      <c r="V79" s="91">
        <v>39.1</v>
      </c>
      <c r="W79" s="81" t="s">
        <v>85</v>
      </c>
      <c r="X79" s="81" t="s">
        <v>76</v>
      </c>
      <c r="Y79" s="81" t="s">
        <v>6</v>
      </c>
      <c r="Z79" s="81" t="s">
        <v>57</v>
      </c>
      <c r="AA79" s="81" t="s">
        <v>32</v>
      </c>
      <c r="AB79" s="90" t="s">
        <v>162</v>
      </c>
      <c r="AC79" s="81" t="s">
        <v>65</v>
      </c>
    </row>
    <row r="80" spans="1:29">
      <c r="A80" s="81" t="s">
        <v>93</v>
      </c>
      <c r="B80" s="84">
        <v>46039</v>
      </c>
      <c r="C80" s="83">
        <v>46039</v>
      </c>
      <c r="D80" s="85" t="s">
        <v>168</v>
      </c>
      <c r="E80" s="86">
        <v>0.45833333333333331</v>
      </c>
      <c r="F80" s="86">
        <v>0.54166666666666663</v>
      </c>
      <c r="G80" s="86">
        <v>3.4722222222222218E-4</v>
      </c>
      <c r="H80" s="81" t="s">
        <v>180</v>
      </c>
      <c r="I80" s="87" t="s">
        <v>135</v>
      </c>
      <c r="J80" s="81" t="s">
        <v>136</v>
      </c>
      <c r="K80" s="81"/>
      <c r="L80" s="81">
        <v>1</v>
      </c>
      <c r="M80" s="81">
        <v>69723</v>
      </c>
      <c r="N80" s="81" t="s">
        <v>33</v>
      </c>
      <c r="O80" s="81" t="s">
        <v>161</v>
      </c>
      <c r="P80" s="91">
        <v>37</v>
      </c>
      <c r="Q80" s="81"/>
      <c r="R80" s="91">
        <v>37</v>
      </c>
      <c r="S80" s="89">
        <v>46023</v>
      </c>
      <c r="T80" s="91">
        <v>5.55</v>
      </c>
      <c r="U80" s="90">
        <v>4</v>
      </c>
      <c r="V80" s="91">
        <v>31.45</v>
      </c>
      <c r="W80" s="81" t="s">
        <v>85</v>
      </c>
      <c r="X80" s="81" t="s">
        <v>76</v>
      </c>
      <c r="Y80" s="81" t="s">
        <v>6</v>
      </c>
      <c r="Z80" s="81" t="s">
        <v>57</v>
      </c>
      <c r="AA80" s="81" t="s">
        <v>32</v>
      </c>
      <c r="AB80" s="90" t="s">
        <v>162</v>
      </c>
      <c r="AC80" s="81" t="s">
        <v>65</v>
      </c>
    </row>
    <row r="81" spans="1:29">
      <c r="A81" s="81" t="s">
        <v>93</v>
      </c>
      <c r="B81" s="84">
        <v>46040</v>
      </c>
      <c r="C81" s="83">
        <v>46040</v>
      </c>
      <c r="D81" s="85" t="s">
        <v>169</v>
      </c>
      <c r="E81" s="86">
        <v>0.45833333333333331</v>
      </c>
      <c r="F81" s="86">
        <v>0.54166666666666663</v>
      </c>
      <c r="G81" s="86">
        <v>3.4722222222222218E-4</v>
      </c>
      <c r="H81" s="81" t="s">
        <v>180</v>
      </c>
      <c r="I81" s="87" t="s">
        <v>135</v>
      </c>
      <c r="J81" s="81" t="s">
        <v>136</v>
      </c>
      <c r="K81" s="81"/>
      <c r="L81" s="81">
        <v>1</v>
      </c>
      <c r="M81" s="81">
        <v>69723</v>
      </c>
      <c r="N81" s="81" t="s">
        <v>33</v>
      </c>
      <c r="O81" s="81" t="s">
        <v>161</v>
      </c>
      <c r="P81" s="91">
        <v>37</v>
      </c>
      <c r="Q81" s="81"/>
      <c r="R81" s="91">
        <v>37</v>
      </c>
      <c r="S81" s="89">
        <v>46023</v>
      </c>
      <c r="T81" s="91">
        <v>5.55</v>
      </c>
      <c r="U81" s="90">
        <v>4</v>
      </c>
      <c r="V81" s="91">
        <v>31.45</v>
      </c>
      <c r="W81" s="81" t="s">
        <v>85</v>
      </c>
      <c r="X81" s="81" t="s">
        <v>76</v>
      </c>
      <c r="Y81" s="81" t="s">
        <v>6</v>
      </c>
      <c r="Z81" s="81" t="s">
        <v>57</v>
      </c>
      <c r="AA81" s="81" t="s">
        <v>32</v>
      </c>
      <c r="AB81" s="90" t="s">
        <v>162</v>
      </c>
      <c r="AC81" s="81" t="s">
        <v>65</v>
      </c>
    </row>
    <row r="82" spans="1:29">
      <c r="A82" s="81" t="s">
        <v>93</v>
      </c>
      <c r="B82" s="84">
        <v>46046</v>
      </c>
      <c r="C82" s="83">
        <v>46046</v>
      </c>
      <c r="D82" s="85" t="s">
        <v>168</v>
      </c>
      <c r="E82" s="86">
        <v>0.45833333333333331</v>
      </c>
      <c r="F82" s="86">
        <v>0.54166666666666663</v>
      </c>
      <c r="G82" s="86">
        <v>3.4722222222222218E-4</v>
      </c>
      <c r="H82" s="81" t="s">
        <v>180</v>
      </c>
      <c r="I82" s="87" t="s">
        <v>135</v>
      </c>
      <c r="J82" s="81" t="s">
        <v>136</v>
      </c>
      <c r="K82" s="81"/>
      <c r="L82" s="81">
        <v>1</v>
      </c>
      <c r="M82" s="81">
        <v>69723</v>
      </c>
      <c r="N82" s="81" t="s">
        <v>33</v>
      </c>
      <c r="O82" s="81" t="s">
        <v>161</v>
      </c>
      <c r="P82" s="91">
        <v>37</v>
      </c>
      <c r="Q82" s="81"/>
      <c r="R82" s="91">
        <v>37</v>
      </c>
      <c r="S82" s="89">
        <v>46023</v>
      </c>
      <c r="T82" s="91">
        <v>5.55</v>
      </c>
      <c r="U82" s="90">
        <v>4</v>
      </c>
      <c r="V82" s="91">
        <v>31.45</v>
      </c>
      <c r="W82" s="81" t="s">
        <v>85</v>
      </c>
      <c r="X82" s="81" t="s">
        <v>76</v>
      </c>
      <c r="Y82" s="81" t="s">
        <v>6</v>
      </c>
      <c r="Z82" s="81" t="s">
        <v>57</v>
      </c>
      <c r="AA82" s="81" t="s">
        <v>32</v>
      </c>
      <c r="AB82" s="90" t="s">
        <v>162</v>
      </c>
      <c r="AC82" s="81" t="s">
        <v>65</v>
      </c>
    </row>
    <row r="83" spans="1:29">
      <c r="A83" s="81" t="s">
        <v>93</v>
      </c>
      <c r="B83" s="84">
        <v>46047</v>
      </c>
      <c r="C83" s="83">
        <v>46047</v>
      </c>
      <c r="D83" s="85" t="s">
        <v>169</v>
      </c>
      <c r="E83" s="86">
        <v>0.45833333333333331</v>
      </c>
      <c r="F83" s="86">
        <v>0.54166666666666663</v>
      </c>
      <c r="G83" s="86">
        <v>3.4722222222222218E-4</v>
      </c>
      <c r="H83" s="81" t="s">
        <v>180</v>
      </c>
      <c r="I83" s="87" t="s">
        <v>135</v>
      </c>
      <c r="J83" s="81" t="s">
        <v>136</v>
      </c>
      <c r="K83" s="81"/>
      <c r="L83" s="81">
        <v>1</v>
      </c>
      <c r="M83" s="81">
        <v>69723</v>
      </c>
      <c r="N83" s="81" t="s">
        <v>33</v>
      </c>
      <c r="O83" s="81" t="s">
        <v>161</v>
      </c>
      <c r="P83" s="91">
        <v>37</v>
      </c>
      <c r="Q83" s="81"/>
      <c r="R83" s="91">
        <v>37</v>
      </c>
      <c r="S83" s="89">
        <v>46023</v>
      </c>
      <c r="T83" s="91">
        <v>5.55</v>
      </c>
      <c r="U83" s="90">
        <v>4</v>
      </c>
      <c r="V83" s="91">
        <v>31.45</v>
      </c>
      <c r="W83" s="81" t="s">
        <v>85</v>
      </c>
      <c r="X83" s="81" t="s">
        <v>76</v>
      </c>
      <c r="Y83" s="81" t="s">
        <v>6</v>
      </c>
      <c r="Z83" s="81" t="s">
        <v>57</v>
      </c>
      <c r="AA83" s="81" t="s">
        <v>32</v>
      </c>
      <c r="AB83" s="90" t="s">
        <v>162</v>
      </c>
      <c r="AC83" s="81" t="s">
        <v>65</v>
      </c>
    </row>
    <row r="84" spans="1:29">
      <c r="A84" s="81" t="s">
        <v>93</v>
      </c>
      <c r="B84" s="84">
        <v>46046</v>
      </c>
      <c r="C84" s="83">
        <v>46046</v>
      </c>
      <c r="D84" s="85" t="s">
        <v>168</v>
      </c>
      <c r="E84" s="86">
        <v>0.45833333333333331</v>
      </c>
      <c r="F84" s="86">
        <v>0.54166666666666663</v>
      </c>
      <c r="G84" s="86">
        <v>3.4722222222222218E-4</v>
      </c>
      <c r="H84" s="81" t="s">
        <v>180</v>
      </c>
      <c r="I84" s="87" t="s">
        <v>138</v>
      </c>
      <c r="J84" s="81" t="s">
        <v>136</v>
      </c>
      <c r="K84" s="81"/>
      <c r="L84" s="81">
        <v>1</v>
      </c>
      <c r="M84" s="81">
        <v>69723</v>
      </c>
      <c r="N84" s="81" t="s">
        <v>33</v>
      </c>
      <c r="O84" s="81" t="s">
        <v>161</v>
      </c>
      <c r="P84" s="91">
        <v>37</v>
      </c>
      <c r="Q84" s="81"/>
      <c r="R84" s="91">
        <v>37</v>
      </c>
      <c r="S84" s="89">
        <v>46023</v>
      </c>
      <c r="T84" s="91">
        <v>5.55</v>
      </c>
      <c r="U84" s="90">
        <v>4</v>
      </c>
      <c r="V84" s="91">
        <v>31.45</v>
      </c>
      <c r="W84" s="81" t="s">
        <v>85</v>
      </c>
      <c r="X84" s="81" t="s">
        <v>76</v>
      </c>
      <c r="Y84" s="81" t="s">
        <v>6</v>
      </c>
      <c r="Z84" s="81" t="s">
        <v>57</v>
      </c>
      <c r="AA84" s="81" t="s">
        <v>32</v>
      </c>
      <c r="AB84" s="90" t="s">
        <v>162</v>
      </c>
      <c r="AC84" s="81" t="s">
        <v>65</v>
      </c>
    </row>
    <row r="85" spans="1:29">
      <c r="A85" s="81" t="s">
        <v>93</v>
      </c>
      <c r="B85" s="84">
        <v>46039</v>
      </c>
      <c r="C85" s="83">
        <v>46039</v>
      </c>
      <c r="D85" s="85" t="s">
        <v>168</v>
      </c>
      <c r="E85" s="86">
        <v>0.45833333333333331</v>
      </c>
      <c r="F85" s="86">
        <v>0.54166666666666663</v>
      </c>
      <c r="G85" s="86">
        <v>3.4722222222222218E-4</v>
      </c>
      <c r="H85" s="81" t="s">
        <v>180</v>
      </c>
      <c r="I85" s="87" t="s">
        <v>150</v>
      </c>
      <c r="J85" s="81" t="s">
        <v>136</v>
      </c>
      <c r="K85" s="81"/>
      <c r="L85" s="81">
        <v>1</v>
      </c>
      <c r="M85" s="81">
        <v>69723</v>
      </c>
      <c r="N85" s="81" t="s">
        <v>33</v>
      </c>
      <c r="O85" s="81" t="s">
        <v>161</v>
      </c>
      <c r="P85" s="91">
        <v>37</v>
      </c>
      <c r="Q85" s="81"/>
      <c r="R85" s="91">
        <v>37</v>
      </c>
      <c r="S85" s="89">
        <v>46023</v>
      </c>
      <c r="T85" s="91">
        <v>5.55</v>
      </c>
      <c r="U85" s="90">
        <v>4</v>
      </c>
      <c r="V85" s="91">
        <v>31.45</v>
      </c>
      <c r="W85" s="81" t="s">
        <v>85</v>
      </c>
      <c r="X85" s="81" t="s">
        <v>76</v>
      </c>
      <c r="Y85" s="81" t="s">
        <v>6</v>
      </c>
      <c r="Z85" s="81" t="s">
        <v>57</v>
      </c>
      <c r="AA85" s="81" t="s">
        <v>32</v>
      </c>
      <c r="AB85" s="90" t="s">
        <v>162</v>
      </c>
      <c r="AC85" s="81" t="s">
        <v>65</v>
      </c>
    </row>
    <row r="86" spans="1:29">
      <c r="A86" s="81" t="s">
        <v>93</v>
      </c>
      <c r="B86" s="84">
        <v>46040</v>
      </c>
      <c r="C86" s="83">
        <v>46040</v>
      </c>
      <c r="D86" s="85" t="s">
        <v>169</v>
      </c>
      <c r="E86" s="86">
        <v>0.45833333333333331</v>
      </c>
      <c r="F86" s="86">
        <v>0.54166666666666663</v>
      </c>
      <c r="G86" s="86">
        <v>3.4722222222222218E-4</v>
      </c>
      <c r="H86" s="81" t="s">
        <v>180</v>
      </c>
      <c r="I86" s="87" t="s">
        <v>150</v>
      </c>
      <c r="J86" s="81" t="s">
        <v>136</v>
      </c>
      <c r="K86" s="81"/>
      <c r="L86" s="81">
        <v>1</v>
      </c>
      <c r="M86" s="81">
        <v>69723</v>
      </c>
      <c r="N86" s="81" t="s">
        <v>33</v>
      </c>
      <c r="O86" s="81" t="s">
        <v>161</v>
      </c>
      <c r="P86" s="91">
        <v>37</v>
      </c>
      <c r="Q86" s="81"/>
      <c r="R86" s="91">
        <v>37</v>
      </c>
      <c r="S86" s="89">
        <v>46023</v>
      </c>
      <c r="T86" s="91">
        <v>5.55</v>
      </c>
      <c r="U86" s="90">
        <v>4</v>
      </c>
      <c r="V86" s="91">
        <v>31.45</v>
      </c>
      <c r="W86" s="81" t="s">
        <v>85</v>
      </c>
      <c r="X86" s="81" t="s">
        <v>76</v>
      </c>
      <c r="Y86" s="81" t="s">
        <v>6</v>
      </c>
      <c r="Z86" s="81" t="s">
        <v>57</v>
      </c>
      <c r="AA86" s="81" t="s">
        <v>32</v>
      </c>
      <c r="AB86" s="90" t="s">
        <v>162</v>
      </c>
      <c r="AC86" s="81" t="s">
        <v>65</v>
      </c>
    </row>
    <row r="87" spans="1:29">
      <c r="A87" s="81" t="s">
        <v>93</v>
      </c>
      <c r="B87" s="84">
        <v>46047</v>
      </c>
      <c r="C87" s="83">
        <v>46047</v>
      </c>
      <c r="D87" s="85" t="s">
        <v>169</v>
      </c>
      <c r="E87" s="86">
        <v>0.45833333333333331</v>
      </c>
      <c r="F87" s="86">
        <v>0.54166666666666663</v>
      </c>
      <c r="G87" s="86">
        <v>3.4722222222222218E-4</v>
      </c>
      <c r="H87" s="81" t="s">
        <v>180</v>
      </c>
      <c r="I87" s="87" t="s">
        <v>150</v>
      </c>
      <c r="J87" s="81" t="s">
        <v>136</v>
      </c>
      <c r="K87" s="81"/>
      <c r="L87" s="81">
        <v>1</v>
      </c>
      <c r="M87" s="81">
        <v>69723</v>
      </c>
      <c r="N87" s="81" t="s">
        <v>33</v>
      </c>
      <c r="O87" s="81" t="s">
        <v>161</v>
      </c>
      <c r="P87" s="91">
        <v>37</v>
      </c>
      <c r="Q87" s="81"/>
      <c r="R87" s="91">
        <v>37</v>
      </c>
      <c r="S87" s="89">
        <v>46023</v>
      </c>
      <c r="T87" s="91">
        <v>5.55</v>
      </c>
      <c r="U87" s="90">
        <v>4</v>
      </c>
      <c r="V87" s="91">
        <v>31.45</v>
      </c>
      <c r="W87" s="81" t="s">
        <v>85</v>
      </c>
      <c r="X87" s="81" t="s">
        <v>76</v>
      </c>
      <c r="Y87" s="81" t="s">
        <v>6</v>
      </c>
      <c r="Z87" s="81" t="s">
        <v>57</v>
      </c>
      <c r="AA87" s="81" t="s">
        <v>32</v>
      </c>
      <c r="AB87" s="90" t="s">
        <v>162</v>
      </c>
      <c r="AC87" s="81" t="s">
        <v>65</v>
      </c>
    </row>
    <row r="88" spans="1:29">
      <c r="A88" s="81" t="s">
        <v>93</v>
      </c>
      <c r="B88" s="84">
        <v>46040</v>
      </c>
      <c r="C88" s="83">
        <v>46040</v>
      </c>
      <c r="D88" s="85" t="s">
        <v>169</v>
      </c>
      <c r="E88" s="86">
        <v>0.45833333333333331</v>
      </c>
      <c r="F88" s="86">
        <v>0.54166666666666663</v>
      </c>
      <c r="G88" s="86">
        <v>3.4722222222222218E-4</v>
      </c>
      <c r="H88" s="81" t="s">
        <v>180</v>
      </c>
      <c r="I88" s="87" t="s">
        <v>151</v>
      </c>
      <c r="J88" s="81" t="s">
        <v>136</v>
      </c>
      <c r="K88" s="81"/>
      <c r="L88" s="81">
        <v>1</v>
      </c>
      <c r="M88" s="81">
        <v>69723</v>
      </c>
      <c r="N88" s="81" t="s">
        <v>33</v>
      </c>
      <c r="O88" s="81" t="s">
        <v>161</v>
      </c>
      <c r="P88" s="91">
        <v>37</v>
      </c>
      <c r="Q88" s="81"/>
      <c r="R88" s="91">
        <v>37</v>
      </c>
      <c r="S88" s="89">
        <v>46023</v>
      </c>
      <c r="T88" s="91">
        <v>5.55</v>
      </c>
      <c r="U88" s="90">
        <v>4</v>
      </c>
      <c r="V88" s="91">
        <v>31.45</v>
      </c>
      <c r="W88" s="81" t="s">
        <v>85</v>
      </c>
      <c r="X88" s="81" t="s">
        <v>76</v>
      </c>
      <c r="Y88" s="81" t="s">
        <v>6</v>
      </c>
      <c r="Z88" s="81" t="s">
        <v>57</v>
      </c>
      <c r="AA88" s="81" t="s">
        <v>32</v>
      </c>
      <c r="AB88" s="90" t="s">
        <v>162</v>
      </c>
      <c r="AC88" s="81" t="s">
        <v>65</v>
      </c>
    </row>
    <row r="89" spans="1:29">
      <c r="A89" s="81" t="s">
        <v>93</v>
      </c>
      <c r="B89" s="84">
        <v>46039</v>
      </c>
      <c r="C89" s="83">
        <v>46039</v>
      </c>
      <c r="D89" s="85" t="s">
        <v>168</v>
      </c>
      <c r="E89" s="86">
        <v>0.45833333333333331</v>
      </c>
      <c r="F89" s="86">
        <v>0.54166666666666663</v>
      </c>
      <c r="G89" s="86">
        <v>3.4722222222222218E-4</v>
      </c>
      <c r="H89" s="81" t="s">
        <v>180</v>
      </c>
      <c r="I89" s="87" t="s">
        <v>153</v>
      </c>
      <c r="J89" s="81" t="s">
        <v>136</v>
      </c>
      <c r="K89" s="81"/>
      <c r="L89" s="81">
        <v>1</v>
      </c>
      <c r="M89" s="81">
        <v>69723</v>
      </c>
      <c r="N89" s="81" t="s">
        <v>33</v>
      </c>
      <c r="O89" s="81" t="s">
        <v>161</v>
      </c>
      <c r="P89" s="91">
        <v>37</v>
      </c>
      <c r="Q89" s="81"/>
      <c r="R89" s="91">
        <v>37</v>
      </c>
      <c r="S89" s="89">
        <v>46023</v>
      </c>
      <c r="T89" s="91">
        <v>5.55</v>
      </c>
      <c r="U89" s="90">
        <v>4</v>
      </c>
      <c r="V89" s="91">
        <v>31.45</v>
      </c>
      <c r="W89" s="81" t="s">
        <v>85</v>
      </c>
      <c r="X89" s="81" t="s">
        <v>76</v>
      </c>
      <c r="Y89" s="81" t="s">
        <v>6</v>
      </c>
      <c r="Z89" s="81" t="s">
        <v>57</v>
      </c>
      <c r="AA89" s="81" t="s">
        <v>32</v>
      </c>
      <c r="AB89" s="90" t="s">
        <v>162</v>
      </c>
      <c r="AC89" s="81" t="s">
        <v>65</v>
      </c>
    </row>
    <row r="90" spans="1:29">
      <c r="A90" s="81" t="s">
        <v>93</v>
      </c>
      <c r="B90" s="84">
        <v>46046</v>
      </c>
      <c r="C90" s="83">
        <v>46046</v>
      </c>
      <c r="D90" s="85" t="s">
        <v>168</v>
      </c>
      <c r="E90" s="86">
        <v>0.45833333333333331</v>
      </c>
      <c r="F90" s="86">
        <v>0.54166666666666663</v>
      </c>
      <c r="G90" s="86">
        <v>3.4722222222222218E-4</v>
      </c>
      <c r="H90" s="81" t="s">
        <v>180</v>
      </c>
      <c r="I90" s="87" t="s">
        <v>153</v>
      </c>
      <c r="J90" s="81" t="s">
        <v>136</v>
      </c>
      <c r="K90" s="81"/>
      <c r="L90" s="81">
        <v>1</v>
      </c>
      <c r="M90" s="81">
        <v>69723</v>
      </c>
      <c r="N90" s="81" t="s">
        <v>33</v>
      </c>
      <c r="O90" s="81" t="s">
        <v>161</v>
      </c>
      <c r="P90" s="91">
        <v>37</v>
      </c>
      <c r="Q90" s="81"/>
      <c r="R90" s="91">
        <v>37</v>
      </c>
      <c r="S90" s="89">
        <v>46023</v>
      </c>
      <c r="T90" s="91">
        <v>5.55</v>
      </c>
      <c r="U90" s="90">
        <v>4</v>
      </c>
      <c r="V90" s="91">
        <v>31.45</v>
      </c>
      <c r="W90" s="81" t="s">
        <v>85</v>
      </c>
      <c r="X90" s="81" t="s">
        <v>76</v>
      </c>
      <c r="Y90" s="81" t="s">
        <v>6</v>
      </c>
      <c r="Z90" s="81" t="s">
        <v>57</v>
      </c>
      <c r="AA90" s="81" t="s">
        <v>32</v>
      </c>
      <c r="AB90" s="90" t="s">
        <v>162</v>
      </c>
      <c r="AC90" s="81" t="s">
        <v>65</v>
      </c>
    </row>
    <row r="91" spans="1:29">
      <c r="A91" s="81" t="s">
        <v>93</v>
      </c>
      <c r="B91" s="84">
        <v>46047</v>
      </c>
      <c r="C91" s="83">
        <v>46047</v>
      </c>
      <c r="D91" s="85" t="s">
        <v>169</v>
      </c>
      <c r="E91" s="86">
        <v>0.45833333333333331</v>
      </c>
      <c r="F91" s="86">
        <v>0.54166666666666663</v>
      </c>
      <c r="G91" s="86">
        <v>3.4722222222222218E-4</v>
      </c>
      <c r="H91" s="81" t="s">
        <v>180</v>
      </c>
      <c r="I91" s="87" t="s">
        <v>152</v>
      </c>
      <c r="J91" s="81" t="s">
        <v>136</v>
      </c>
      <c r="K91" s="81"/>
      <c r="L91" s="81">
        <v>1</v>
      </c>
      <c r="M91" s="81">
        <v>69723</v>
      </c>
      <c r="N91" s="81" t="s">
        <v>33</v>
      </c>
      <c r="O91" s="81" t="s">
        <v>161</v>
      </c>
      <c r="P91" s="91">
        <v>37</v>
      </c>
      <c r="Q91" s="81"/>
      <c r="R91" s="91">
        <v>37</v>
      </c>
      <c r="S91" s="89">
        <v>46023</v>
      </c>
      <c r="T91" s="91">
        <v>5.55</v>
      </c>
      <c r="U91" s="90">
        <v>4</v>
      </c>
      <c r="V91" s="91">
        <v>31.45</v>
      </c>
      <c r="W91" s="81" t="s">
        <v>85</v>
      </c>
      <c r="X91" s="81" t="s">
        <v>76</v>
      </c>
      <c r="Y91" s="81" t="s">
        <v>6</v>
      </c>
      <c r="Z91" s="81" t="s">
        <v>57</v>
      </c>
      <c r="AA91" s="81" t="s">
        <v>32</v>
      </c>
      <c r="AB91" s="90" t="s">
        <v>162</v>
      </c>
      <c r="AC91" s="81" t="s">
        <v>65</v>
      </c>
    </row>
    <row r="92" spans="1:29">
      <c r="A92" s="81" t="s">
        <v>93</v>
      </c>
      <c r="B92" s="84">
        <v>46040</v>
      </c>
      <c r="C92" s="83">
        <v>46040</v>
      </c>
      <c r="D92" s="85" t="s">
        <v>169</v>
      </c>
      <c r="E92" s="86">
        <v>0.45833333333333331</v>
      </c>
      <c r="F92" s="86">
        <v>0.54166666666666663</v>
      </c>
      <c r="G92" s="86">
        <v>3.4722222222222218E-4</v>
      </c>
      <c r="H92" s="81" t="s">
        <v>180</v>
      </c>
      <c r="I92" s="87" t="s">
        <v>145</v>
      </c>
      <c r="J92" s="81" t="s">
        <v>136</v>
      </c>
      <c r="K92" s="81"/>
      <c r="L92" s="81">
        <v>1</v>
      </c>
      <c r="M92" s="81">
        <v>69723</v>
      </c>
      <c r="N92" s="81" t="s">
        <v>33</v>
      </c>
      <c r="O92" s="81" t="s">
        <v>161</v>
      </c>
      <c r="P92" s="91">
        <v>37</v>
      </c>
      <c r="Q92" s="81"/>
      <c r="R92" s="91">
        <v>37</v>
      </c>
      <c r="S92" s="89">
        <v>46023</v>
      </c>
      <c r="T92" s="91">
        <v>5.55</v>
      </c>
      <c r="U92" s="90">
        <v>4</v>
      </c>
      <c r="V92" s="91">
        <v>31.45</v>
      </c>
      <c r="W92" s="81" t="s">
        <v>85</v>
      </c>
      <c r="X92" s="81" t="s">
        <v>76</v>
      </c>
      <c r="Y92" s="81" t="s">
        <v>6</v>
      </c>
      <c r="Z92" s="81" t="s">
        <v>57</v>
      </c>
      <c r="AA92" s="81" t="s">
        <v>32</v>
      </c>
      <c r="AB92" s="90" t="s">
        <v>162</v>
      </c>
      <c r="AC92" s="81" t="s">
        <v>65</v>
      </c>
    </row>
    <row r="93" spans="1:29">
      <c r="A93" s="81" t="s">
        <v>93</v>
      </c>
      <c r="B93" s="84">
        <v>46039</v>
      </c>
      <c r="C93" s="83">
        <v>46039</v>
      </c>
      <c r="D93" s="85" t="s">
        <v>168</v>
      </c>
      <c r="E93" s="86">
        <v>0.45833333333333331</v>
      </c>
      <c r="F93" s="86">
        <v>0.54166666666666663</v>
      </c>
      <c r="G93" s="86">
        <v>3.4722222222222218E-4</v>
      </c>
      <c r="H93" s="81" t="s">
        <v>180</v>
      </c>
      <c r="I93" s="87" t="s">
        <v>185</v>
      </c>
      <c r="J93" s="81" t="s">
        <v>136</v>
      </c>
      <c r="K93" s="81"/>
      <c r="L93" s="81">
        <v>1</v>
      </c>
      <c r="M93" s="81">
        <v>69723</v>
      </c>
      <c r="N93" s="81" t="s">
        <v>33</v>
      </c>
      <c r="O93" s="81" t="s">
        <v>161</v>
      </c>
      <c r="P93" s="91">
        <v>37</v>
      </c>
      <c r="Q93" s="81"/>
      <c r="R93" s="91">
        <v>37</v>
      </c>
      <c r="S93" s="89">
        <v>46023</v>
      </c>
      <c r="T93" s="91">
        <v>5.55</v>
      </c>
      <c r="U93" s="90">
        <v>4</v>
      </c>
      <c r="V93" s="91">
        <v>31.45</v>
      </c>
      <c r="W93" s="81" t="s">
        <v>85</v>
      </c>
      <c r="X93" s="81" t="s">
        <v>76</v>
      </c>
      <c r="Y93" s="81" t="s">
        <v>6</v>
      </c>
      <c r="Z93" s="81" t="s">
        <v>57</v>
      </c>
      <c r="AA93" s="81" t="s">
        <v>32</v>
      </c>
      <c r="AB93" s="90" t="s">
        <v>162</v>
      </c>
      <c r="AC93" s="81" t="s">
        <v>65</v>
      </c>
    </row>
    <row r="94" spans="1:29">
      <c r="A94" s="81" t="s">
        <v>93</v>
      </c>
      <c r="B94" s="84">
        <v>46046</v>
      </c>
      <c r="C94" s="83">
        <v>46046</v>
      </c>
      <c r="D94" s="85" t="s">
        <v>168</v>
      </c>
      <c r="E94" s="86">
        <v>0.45833333333333331</v>
      </c>
      <c r="F94" s="86">
        <v>0.54166666666666663</v>
      </c>
      <c r="G94" s="86">
        <v>3.4722222222222218E-4</v>
      </c>
      <c r="H94" s="81" t="s">
        <v>180</v>
      </c>
      <c r="I94" s="87" t="s">
        <v>185</v>
      </c>
      <c r="J94" s="81" t="s">
        <v>136</v>
      </c>
      <c r="K94" s="81"/>
      <c r="L94" s="81">
        <v>1</v>
      </c>
      <c r="M94" s="81">
        <v>69723</v>
      </c>
      <c r="N94" s="81" t="s">
        <v>33</v>
      </c>
      <c r="O94" s="81" t="s">
        <v>161</v>
      </c>
      <c r="P94" s="91">
        <v>37</v>
      </c>
      <c r="Q94" s="81"/>
      <c r="R94" s="91">
        <v>37</v>
      </c>
      <c r="S94" s="89">
        <v>46023</v>
      </c>
      <c r="T94" s="91">
        <v>5.55</v>
      </c>
      <c r="U94" s="90">
        <v>4</v>
      </c>
      <c r="V94" s="91">
        <v>31.45</v>
      </c>
      <c r="W94" s="81" t="s">
        <v>85</v>
      </c>
      <c r="X94" s="81" t="s">
        <v>76</v>
      </c>
      <c r="Y94" s="81" t="s">
        <v>6</v>
      </c>
      <c r="Z94" s="81" t="s">
        <v>57</v>
      </c>
      <c r="AA94" s="81" t="s">
        <v>32</v>
      </c>
      <c r="AB94" s="90" t="s">
        <v>162</v>
      </c>
      <c r="AC94" s="81" t="s">
        <v>65</v>
      </c>
    </row>
    <row r="95" spans="1:29">
      <c r="A95" s="81" t="s">
        <v>93</v>
      </c>
      <c r="B95" s="84">
        <v>46047</v>
      </c>
      <c r="C95" s="83">
        <v>46047</v>
      </c>
      <c r="D95" s="85" t="s">
        <v>169</v>
      </c>
      <c r="E95" s="86">
        <v>0.45833333333333331</v>
      </c>
      <c r="F95" s="86">
        <v>0.54166666666666663</v>
      </c>
      <c r="G95" s="86">
        <v>3.4722222222222218E-4</v>
      </c>
      <c r="H95" s="81" t="s">
        <v>180</v>
      </c>
      <c r="I95" s="87" t="s">
        <v>185</v>
      </c>
      <c r="J95" s="81" t="s">
        <v>136</v>
      </c>
      <c r="K95" s="81"/>
      <c r="L95" s="81">
        <v>1</v>
      </c>
      <c r="M95" s="81">
        <v>69723</v>
      </c>
      <c r="N95" s="81" t="s">
        <v>33</v>
      </c>
      <c r="O95" s="81" t="s">
        <v>161</v>
      </c>
      <c r="P95" s="91">
        <v>37</v>
      </c>
      <c r="Q95" s="81"/>
      <c r="R95" s="91">
        <v>37</v>
      </c>
      <c r="S95" s="89">
        <v>46023</v>
      </c>
      <c r="T95" s="91">
        <v>5.55</v>
      </c>
      <c r="U95" s="90">
        <v>4</v>
      </c>
      <c r="V95" s="91">
        <v>31.45</v>
      </c>
      <c r="W95" s="81" t="s">
        <v>85</v>
      </c>
      <c r="X95" s="81" t="s">
        <v>76</v>
      </c>
      <c r="Y95" s="81" t="s">
        <v>6</v>
      </c>
      <c r="Z95" s="81" t="s">
        <v>57</v>
      </c>
      <c r="AA95" s="81" t="s">
        <v>32</v>
      </c>
      <c r="AB95" s="90" t="s">
        <v>162</v>
      </c>
      <c r="AC95" s="81" t="s">
        <v>65</v>
      </c>
    </row>
    <row r="96" spans="1:29">
      <c r="A96" s="81" t="s">
        <v>93</v>
      </c>
      <c r="B96" s="84">
        <v>46040</v>
      </c>
      <c r="C96" s="83">
        <v>46040</v>
      </c>
      <c r="D96" s="85" t="s">
        <v>169</v>
      </c>
      <c r="E96" s="86">
        <v>0.45833333333333331</v>
      </c>
      <c r="F96" s="86">
        <v>0.54166666666666663</v>
      </c>
      <c r="G96" s="86">
        <v>3.4722222222222218E-4</v>
      </c>
      <c r="H96" s="81" t="s">
        <v>180</v>
      </c>
      <c r="I96" s="87" t="s">
        <v>147</v>
      </c>
      <c r="J96" s="81" t="s">
        <v>136</v>
      </c>
      <c r="K96" s="81"/>
      <c r="L96" s="81">
        <v>1</v>
      </c>
      <c r="M96" s="81">
        <v>69723</v>
      </c>
      <c r="N96" s="81" t="s">
        <v>33</v>
      </c>
      <c r="O96" s="81" t="s">
        <v>161</v>
      </c>
      <c r="P96" s="91">
        <v>37</v>
      </c>
      <c r="Q96" s="81"/>
      <c r="R96" s="91">
        <v>37</v>
      </c>
      <c r="S96" s="89">
        <v>46023</v>
      </c>
      <c r="T96" s="91">
        <v>5.55</v>
      </c>
      <c r="U96" s="90">
        <v>4</v>
      </c>
      <c r="V96" s="91">
        <v>31.45</v>
      </c>
      <c r="W96" s="81" t="s">
        <v>85</v>
      </c>
      <c r="X96" s="81" t="s">
        <v>76</v>
      </c>
      <c r="Y96" s="81" t="s">
        <v>6</v>
      </c>
      <c r="Z96" s="81" t="s">
        <v>57</v>
      </c>
      <c r="AA96" s="81" t="s">
        <v>32</v>
      </c>
      <c r="AB96" s="90" t="s">
        <v>162</v>
      </c>
      <c r="AC96" s="81" t="s">
        <v>65</v>
      </c>
    </row>
    <row r="97" spans="1:29">
      <c r="A97" s="81" t="s">
        <v>93</v>
      </c>
      <c r="B97" s="84">
        <v>46047</v>
      </c>
      <c r="C97" s="83">
        <v>46047</v>
      </c>
      <c r="D97" s="85" t="s">
        <v>169</v>
      </c>
      <c r="E97" s="86">
        <v>0.45833333333333331</v>
      </c>
      <c r="F97" s="86">
        <v>0.54166666666666663</v>
      </c>
      <c r="G97" s="86">
        <v>3.4722222222222218E-4</v>
      </c>
      <c r="H97" s="81" t="s">
        <v>180</v>
      </c>
      <c r="I97" s="87" t="s">
        <v>148</v>
      </c>
      <c r="J97" s="81" t="s">
        <v>136</v>
      </c>
      <c r="K97" s="81"/>
      <c r="L97" s="81">
        <v>1</v>
      </c>
      <c r="M97" s="81">
        <v>69723</v>
      </c>
      <c r="N97" s="81" t="s">
        <v>33</v>
      </c>
      <c r="O97" s="81" t="s">
        <v>161</v>
      </c>
      <c r="P97" s="91">
        <v>37</v>
      </c>
      <c r="Q97" s="81"/>
      <c r="R97" s="91">
        <v>37</v>
      </c>
      <c r="S97" s="89">
        <v>46023</v>
      </c>
      <c r="T97" s="91">
        <v>5.55</v>
      </c>
      <c r="U97" s="90">
        <v>4</v>
      </c>
      <c r="V97" s="91">
        <v>31.45</v>
      </c>
      <c r="W97" s="81" t="s">
        <v>85</v>
      </c>
      <c r="X97" s="81" t="s">
        <v>76</v>
      </c>
      <c r="Y97" s="81" t="s">
        <v>6</v>
      </c>
      <c r="Z97" s="81" t="s">
        <v>57</v>
      </c>
      <c r="AA97" s="81" t="s">
        <v>32</v>
      </c>
      <c r="AB97" s="90" t="s">
        <v>162</v>
      </c>
      <c r="AC97" s="81" t="s">
        <v>65</v>
      </c>
    </row>
    <row r="98" spans="1:29">
      <c r="A98" s="81" t="s">
        <v>93</v>
      </c>
      <c r="B98" s="84">
        <v>46039</v>
      </c>
      <c r="C98" s="83">
        <v>46039</v>
      </c>
      <c r="D98" s="85" t="s">
        <v>168</v>
      </c>
      <c r="E98" s="86">
        <v>0.45833333333333331</v>
      </c>
      <c r="F98" s="86">
        <v>0.54166666666666663</v>
      </c>
      <c r="G98" s="86">
        <v>3.4722222222222218E-4</v>
      </c>
      <c r="H98" s="81" t="s">
        <v>180</v>
      </c>
      <c r="I98" s="87" t="s">
        <v>149</v>
      </c>
      <c r="J98" s="81" t="s">
        <v>136</v>
      </c>
      <c r="K98" s="81"/>
      <c r="L98" s="81">
        <v>1</v>
      </c>
      <c r="M98" s="81">
        <v>69723</v>
      </c>
      <c r="N98" s="81" t="s">
        <v>33</v>
      </c>
      <c r="O98" s="81" t="s">
        <v>161</v>
      </c>
      <c r="P98" s="91">
        <v>37</v>
      </c>
      <c r="Q98" s="81"/>
      <c r="R98" s="91">
        <v>37</v>
      </c>
      <c r="S98" s="89">
        <v>46023</v>
      </c>
      <c r="T98" s="91">
        <v>5.55</v>
      </c>
      <c r="U98" s="90">
        <v>4</v>
      </c>
      <c r="V98" s="91">
        <v>31.45</v>
      </c>
      <c r="W98" s="81" t="s">
        <v>85</v>
      </c>
      <c r="X98" s="81" t="s">
        <v>76</v>
      </c>
      <c r="Y98" s="81" t="s">
        <v>6</v>
      </c>
      <c r="Z98" s="81" t="s">
        <v>57</v>
      </c>
      <c r="AA98" s="81" t="s">
        <v>32</v>
      </c>
      <c r="AB98" s="90" t="s">
        <v>162</v>
      </c>
      <c r="AC98" s="81" t="s">
        <v>65</v>
      </c>
    </row>
    <row r="99" spans="1:29">
      <c r="A99" s="81" t="s">
        <v>93</v>
      </c>
      <c r="B99" s="84">
        <v>46040</v>
      </c>
      <c r="C99" s="83">
        <v>46040</v>
      </c>
      <c r="D99" s="85" t="s">
        <v>169</v>
      </c>
      <c r="E99" s="86">
        <v>0.45833333333333331</v>
      </c>
      <c r="F99" s="86">
        <v>0.54166666666666663</v>
      </c>
      <c r="G99" s="86">
        <v>3.4722222222222218E-4</v>
      </c>
      <c r="H99" s="81" t="s">
        <v>180</v>
      </c>
      <c r="I99" s="87" t="s">
        <v>149</v>
      </c>
      <c r="J99" s="81" t="s">
        <v>136</v>
      </c>
      <c r="K99" s="81"/>
      <c r="L99" s="81">
        <v>1</v>
      </c>
      <c r="M99" s="81">
        <v>69723</v>
      </c>
      <c r="N99" s="81" t="s">
        <v>33</v>
      </c>
      <c r="O99" s="81" t="s">
        <v>161</v>
      </c>
      <c r="P99" s="91">
        <v>37</v>
      </c>
      <c r="Q99" s="81"/>
      <c r="R99" s="91">
        <v>37</v>
      </c>
      <c r="S99" s="89">
        <v>46023</v>
      </c>
      <c r="T99" s="91">
        <v>5.55</v>
      </c>
      <c r="U99" s="90">
        <v>4</v>
      </c>
      <c r="V99" s="91">
        <v>31.45</v>
      </c>
      <c r="W99" s="81" t="s">
        <v>85</v>
      </c>
      <c r="X99" s="81" t="s">
        <v>76</v>
      </c>
      <c r="Y99" s="81" t="s">
        <v>6</v>
      </c>
      <c r="Z99" s="81" t="s">
        <v>57</v>
      </c>
      <c r="AA99" s="81" t="s">
        <v>32</v>
      </c>
      <c r="AB99" s="90" t="s">
        <v>162</v>
      </c>
      <c r="AC99" s="81" t="s">
        <v>65</v>
      </c>
    </row>
    <row r="100" spans="1:29">
      <c r="A100" s="81" t="s">
        <v>93</v>
      </c>
      <c r="B100" s="84">
        <v>46046</v>
      </c>
      <c r="C100" s="83">
        <v>46046</v>
      </c>
      <c r="D100" s="85" t="s">
        <v>168</v>
      </c>
      <c r="E100" s="86">
        <v>0.45833333333333331</v>
      </c>
      <c r="F100" s="86">
        <v>0.54166666666666663</v>
      </c>
      <c r="G100" s="86">
        <v>3.4722222222222218E-4</v>
      </c>
      <c r="H100" s="81" t="s">
        <v>180</v>
      </c>
      <c r="I100" s="87" t="s">
        <v>149</v>
      </c>
      <c r="J100" s="81" t="s">
        <v>136</v>
      </c>
      <c r="K100" s="81"/>
      <c r="L100" s="81">
        <v>1</v>
      </c>
      <c r="M100" s="81">
        <v>69723</v>
      </c>
      <c r="N100" s="81" t="s">
        <v>33</v>
      </c>
      <c r="O100" s="81" t="s">
        <v>161</v>
      </c>
      <c r="P100" s="91">
        <v>37</v>
      </c>
      <c r="Q100" s="81"/>
      <c r="R100" s="91">
        <v>37</v>
      </c>
      <c r="S100" s="89">
        <v>46023</v>
      </c>
      <c r="T100" s="91">
        <v>5.55</v>
      </c>
      <c r="U100" s="90">
        <v>4</v>
      </c>
      <c r="V100" s="91">
        <v>31.45</v>
      </c>
      <c r="W100" s="81" t="s">
        <v>85</v>
      </c>
      <c r="X100" s="81" t="s">
        <v>76</v>
      </c>
      <c r="Y100" s="81" t="s">
        <v>6</v>
      </c>
      <c r="Z100" s="81" t="s">
        <v>57</v>
      </c>
      <c r="AA100" s="81" t="s">
        <v>32</v>
      </c>
      <c r="AB100" s="90" t="s">
        <v>162</v>
      </c>
      <c r="AC100" s="81" t="s">
        <v>65</v>
      </c>
    </row>
    <row r="101" spans="1:29">
      <c r="A101" s="81" t="s">
        <v>93</v>
      </c>
      <c r="B101" s="84">
        <v>46047</v>
      </c>
      <c r="C101" s="83">
        <v>46047</v>
      </c>
      <c r="D101" s="85" t="s">
        <v>169</v>
      </c>
      <c r="E101" s="86">
        <v>0.25</v>
      </c>
      <c r="F101" s="86">
        <v>0.99930555555555556</v>
      </c>
      <c r="G101" s="86">
        <v>3.4722222222222218E-4</v>
      </c>
      <c r="H101" s="81" t="s">
        <v>180</v>
      </c>
      <c r="I101" s="87" t="s">
        <v>186</v>
      </c>
      <c r="J101" s="81" t="s">
        <v>78</v>
      </c>
      <c r="K101" s="81"/>
      <c r="L101" s="81">
        <v>1</v>
      </c>
      <c r="M101" s="81">
        <v>69724</v>
      </c>
      <c r="N101" s="81" t="s">
        <v>71</v>
      </c>
      <c r="O101" s="81" t="s">
        <v>161</v>
      </c>
      <c r="P101" s="91">
        <v>0</v>
      </c>
      <c r="Q101" s="81"/>
      <c r="R101" s="91">
        <v>0</v>
      </c>
      <c r="S101" s="89">
        <v>46023</v>
      </c>
      <c r="T101" s="91">
        <v>0</v>
      </c>
      <c r="U101" s="90">
        <v>4</v>
      </c>
      <c r="V101" s="91">
        <v>0</v>
      </c>
      <c r="W101" s="81" t="s">
        <v>85</v>
      </c>
      <c r="X101" s="81" t="s">
        <v>76</v>
      </c>
      <c r="Y101" s="81" t="s">
        <v>6</v>
      </c>
      <c r="Z101" s="81" t="s">
        <v>57</v>
      </c>
      <c r="AA101" s="81" t="s">
        <v>32</v>
      </c>
      <c r="AB101" s="90" t="s">
        <v>162</v>
      </c>
      <c r="AC101" s="81" t="s">
        <v>65</v>
      </c>
    </row>
    <row r="102" spans="1:29">
      <c r="A102" s="81" t="s">
        <v>93</v>
      </c>
      <c r="B102" s="84">
        <v>46047</v>
      </c>
      <c r="C102" s="83">
        <v>46047</v>
      </c>
      <c r="D102" s="85" t="s">
        <v>169</v>
      </c>
      <c r="E102" s="86">
        <v>0.25</v>
      </c>
      <c r="F102" s="86">
        <v>0.99930555555555556</v>
      </c>
      <c r="G102" s="86">
        <v>3.4722222222222218E-4</v>
      </c>
      <c r="H102" s="81" t="s">
        <v>180</v>
      </c>
      <c r="I102" s="87" t="s">
        <v>187</v>
      </c>
      <c r="J102" s="81" t="s">
        <v>78</v>
      </c>
      <c r="K102" s="81"/>
      <c r="L102" s="81">
        <v>1</v>
      </c>
      <c r="M102" s="81">
        <v>69724</v>
      </c>
      <c r="N102" s="81" t="s">
        <v>71</v>
      </c>
      <c r="O102" s="81" t="s">
        <v>161</v>
      </c>
      <c r="P102" s="91">
        <v>0</v>
      </c>
      <c r="Q102" s="81"/>
      <c r="R102" s="91">
        <v>0</v>
      </c>
      <c r="S102" s="89">
        <v>46023</v>
      </c>
      <c r="T102" s="91">
        <v>0</v>
      </c>
      <c r="U102" s="90">
        <v>4</v>
      </c>
      <c r="V102" s="91">
        <v>0</v>
      </c>
      <c r="W102" s="81" t="s">
        <v>85</v>
      </c>
      <c r="X102" s="81" t="s">
        <v>76</v>
      </c>
      <c r="Y102" s="81" t="s">
        <v>6</v>
      </c>
      <c r="Z102" s="81" t="s">
        <v>57</v>
      </c>
      <c r="AA102" s="81" t="s">
        <v>32</v>
      </c>
      <c r="AB102" s="90" t="s">
        <v>162</v>
      </c>
      <c r="AC102" s="81" t="s">
        <v>65</v>
      </c>
    </row>
    <row r="103" spans="1:29">
      <c r="A103" s="81" t="s">
        <v>93</v>
      </c>
      <c r="B103" s="84">
        <v>46047</v>
      </c>
      <c r="C103" s="83">
        <v>46047</v>
      </c>
      <c r="D103" s="85" t="s">
        <v>169</v>
      </c>
      <c r="E103" s="86">
        <v>0.25</v>
      </c>
      <c r="F103" s="86">
        <v>0.99930555555555556</v>
      </c>
      <c r="G103" s="86">
        <v>3.4722222222222218E-4</v>
      </c>
      <c r="H103" s="81" t="s">
        <v>180</v>
      </c>
      <c r="I103" s="87" t="s">
        <v>188</v>
      </c>
      <c r="J103" s="81" t="s">
        <v>78</v>
      </c>
      <c r="K103" s="81"/>
      <c r="L103" s="81">
        <v>1</v>
      </c>
      <c r="M103" s="81">
        <v>69724</v>
      </c>
      <c r="N103" s="81" t="s">
        <v>71</v>
      </c>
      <c r="O103" s="81" t="s">
        <v>161</v>
      </c>
      <c r="P103" s="91">
        <v>0</v>
      </c>
      <c r="Q103" s="81"/>
      <c r="R103" s="91">
        <v>0</v>
      </c>
      <c r="S103" s="89">
        <v>46023</v>
      </c>
      <c r="T103" s="91">
        <v>0</v>
      </c>
      <c r="U103" s="90">
        <v>4</v>
      </c>
      <c r="V103" s="91">
        <v>0</v>
      </c>
      <c r="W103" s="81" t="s">
        <v>85</v>
      </c>
      <c r="X103" s="81" t="s">
        <v>76</v>
      </c>
      <c r="Y103" s="81" t="s">
        <v>6</v>
      </c>
      <c r="Z103" s="81" t="s">
        <v>57</v>
      </c>
      <c r="AA103" s="81" t="s">
        <v>32</v>
      </c>
      <c r="AB103" s="90" t="s">
        <v>162</v>
      </c>
      <c r="AC103" s="81" t="s">
        <v>65</v>
      </c>
    </row>
    <row r="104" spans="1:29">
      <c r="A104" s="81" t="s">
        <v>93</v>
      </c>
      <c r="B104" s="84">
        <v>46047</v>
      </c>
      <c r="C104" s="83">
        <v>46047</v>
      </c>
      <c r="D104" s="85" t="s">
        <v>169</v>
      </c>
      <c r="E104" s="86">
        <v>0.25</v>
      </c>
      <c r="F104" s="86">
        <v>0.99930555555555556</v>
      </c>
      <c r="G104" s="86">
        <v>3.4722222222222218E-4</v>
      </c>
      <c r="H104" s="81" t="s">
        <v>180</v>
      </c>
      <c r="I104" s="87" t="s">
        <v>189</v>
      </c>
      <c r="J104" s="81" t="s">
        <v>78</v>
      </c>
      <c r="K104" s="81"/>
      <c r="L104" s="81">
        <v>1</v>
      </c>
      <c r="M104" s="81">
        <v>69724</v>
      </c>
      <c r="N104" s="81" t="s">
        <v>71</v>
      </c>
      <c r="O104" s="81" t="s">
        <v>161</v>
      </c>
      <c r="P104" s="91">
        <v>0</v>
      </c>
      <c r="Q104" s="81"/>
      <c r="R104" s="91">
        <v>0</v>
      </c>
      <c r="S104" s="89">
        <v>46023</v>
      </c>
      <c r="T104" s="91">
        <v>0</v>
      </c>
      <c r="U104" s="90">
        <v>4</v>
      </c>
      <c r="V104" s="91">
        <v>0</v>
      </c>
      <c r="W104" s="81" t="s">
        <v>85</v>
      </c>
      <c r="X104" s="81" t="s">
        <v>76</v>
      </c>
      <c r="Y104" s="81" t="s">
        <v>6</v>
      </c>
      <c r="Z104" s="81" t="s">
        <v>57</v>
      </c>
      <c r="AA104" s="81" t="s">
        <v>32</v>
      </c>
      <c r="AB104" s="90" t="s">
        <v>162</v>
      </c>
      <c r="AC104" s="81" t="s">
        <v>65</v>
      </c>
    </row>
    <row r="105" spans="1:29">
      <c r="A105" s="81" t="s">
        <v>93</v>
      </c>
      <c r="B105" s="84">
        <v>46047</v>
      </c>
      <c r="C105" s="83">
        <v>46047</v>
      </c>
      <c r="D105" s="85" t="s">
        <v>169</v>
      </c>
      <c r="E105" s="86">
        <v>0.25</v>
      </c>
      <c r="F105" s="86">
        <v>0.99930555555555556</v>
      </c>
      <c r="G105" s="86">
        <v>3.4722222222222218E-4</v>
      </c>
      <c r="H105" s="81" t="s">
        <v>180</v>
      </c>
      <c r="I105" s="87" t="s">
        <v>190</v>
      </c>
      <c r="J105" s="81" t="s">
        <v>78</v>
      </c>
      <c r="K105" s="81"/>
      <c r="L105" s="81">
        <v>1</v>
      </c>
      <c r="M105" s="81">
        <v>69724</v>
      </c>
      <c r="N105" s="81" t="s">
        <v>71</v>
      </c>
      <c r="O105" s="81" t="s">
        <v>161</v>
      </c>
      <c r="P105" s="91">
        <v>0</v>
      </c>
      <c r="Q105" s="81"/>
      <c r="R105" s="91">
        <v>0</v>
      </c>
      <c r="S105" s="89">
        <v>46023</v>
      </c>
      <c r="T105" s="91">
        <v>0</v>
      </c>
      <c r="U105" s="90">
        <v>4</v>
      </c>
      <c r="V105" s="91">
        <v>0</v>
      </c>
      <c r="W105" s="81" t="s">
        <v>85</v>
      </c>
      <c r="X105" s="81" t="s">
        <v>76</v>
      </c>
      <c r="Y105" s="81" t="s">
        <v>6</v>
      </c>
      <c r="Z105" s="81" t="s">
        <v>57</v>
      </c>
      <c r="AA105" s="81" t="s">
        <v>32</v>
      </c>
      <c r="AB105" s="90" t="s">
        <v>162</v>
      </c>
      <c r="AC105" s="81" t="s">
        <v>65</v>
      </c>
    </row>
    <row r="106" spans="1:29">
      <c r="A106" s="81" t="s">
        <v>93</v>
      </c>
      <c r="B106" s="84">
        <v>46047</v>
      </c>
      <c r="C106" s="83">
        <v>46047</v>
      </c>
      <c r="D106" s="85" t="s">
        <v>169</v>
      </c>
      <c r="E106" s="86">
        <v>0.25</v>
      </c>
      <c r="F106" s="86">
        <v>0.99930555555555556</v>
      </c>
      <c r="G106" s="86">
        <v>3.4722222222222218E-4</v>
      </c>
      <c r="H106" s="81" t="s">
        <v>180</v>
      </c>
      <c r="I106" s="87" t="s">
        <v>191</v>
      </c>
      <c r="J106" s="81" t="s">
        <v>78</v>
      </c>
      <c r="K106" s="81"/>
      <c r="L106" s="81">
        <v>1</v>
      </c>
      <c r="M106" s="81">
        <v>69724</v>
      </c>
      <c r="N106" s="81" t="s">
        <v>71</v>
      </c>
      <c r="O106" s="81" t="s">
        <v>161</v>
      </c>
      <c r="P106" s="91">
        <v>0</v>
      </c>
      <c r="Q106" s="81"/>
      <c r="R106" s="91">
        <v>0</v>
      </c>
      <c r="S106" s="89">
        <v>46023</v>
      </c>
      <c r="T106" s="91">
        <v>0</v>
      </c>
      <c r="U106" s="90">
        <v>4</v>
      </c>
      <c r="V106" s="91">
        <v>0</v>
      </c>
      <c r="W106" s="81" t="s">
        <v>85</v>
      </c>
      <c r="X106" s="81" t="s">
        <v>76</v>
      </c>
      <c r="Y106" s="81" t="s">
        <v>6</v>
      </c>
      <c r="Z106" s="81" t="s">
        <v>57</v>
      </c>
      <c r="AA106" s="81" t="s">
        <v>32</v>
      </c>
      <c r="AB106" s="90" t="s">
        <v>162</v>
      </c>
      <c r="AC106" s="81" t="s">
        <v>65</v>
      </c>
    </row>
    <row r="107" spans="1:29">
      <c r="A107" s="81" t="s">
        <v>93</v>
      </c>
      <c r="B107" s="84">
        <v>46047</v>
      </c>
      <c r="C107" s="83">
        <v>46047</v>
      </c>
      <c r="D107" s="85" t="s">
        <v>169</v>
      </c>
      <c r="E107" s="86">
        <v>0.25</v>
      </c>
      <c r="F107" s="86">
        <v>0.99930555555555556</v>
      </c>
      <c r="G107" s="86">
        <v>3.4722222222222218E-4</v>
      </c>
      <c r="H107" s="81" t="s">
        <v>180</v>
      </c>
      <c r="I107" s="87" t="s">
        <v>192</v>
      </c>
      <c r="J107" s="81" t="s">
        <v>78</v>
      </c>
      <c r="K107" s="81"/>
      <c r="L107" s="81">
        <v>1</v>
      </c>
      <c r="M107" s="81">
        <v>69724</v>
      </c>
      <c r="N107" s="81" t="s">
        <v>71</v>
      </c>
      <c r="O107" s="81" t="s">
        <v>161</v>
      </c>
      <c r="P107" s="91">
        <v>0</v>
      </c>
      <c r="Q107" s="81"/>
      <c r="R107" s="91">
        <v>0</v>
      </c>
      <c r="S107" s="89">
        <v>46023</v>
      </c>
      <c r="T107" s="91">
        <v>0</v>
      </c>
      <c r="U107" s="90">
        <v>4</v>
      </c>
      <c r="V107" s="91">
        <v>0</v>
      </c>
      <c r="W107" s="81" t="s">
        <v>85</v>
      </c>
      <c r="X107" s="81" t="s">
        <v>76</v>
      </c>
      <c r="Y107" s="81" t="s">
        <v>6</v>
      </c>
      <c r="Z107" s="81" t="s">
        <v>57</v>
      </c>
      <c r="AA107" s="81" t="s">
        <v>32</v>
      </c>
      <c r="AB107" s="90" t="s">
        <v>162</v>
      </c>
      <c r="AC107" s="81" t="s">
        <v>65</v>
      </c>
    </row>
    <row r="108" spans="1:29">
      <c r="A108" s="81" t="s">
        <v>93</v>
      </c>
      <c r="B108" s="84">
        <v>46047</v>
      </c>
      <c r="C108" s="83">
        <v>46047</v>
      </c>
      <c r="D108" s="85" t="s">
        <v>169</v>
      </c>
      <c r="E108" s="86">
        <v>0.25</v>
      </c>
      <c r="F108" s="86">
        <v>0.99930555555555556</v>
      </c>
      <c r="G108" s="86">
        <v>3.4722222222222218E-4</v>
      </c>
      <c r="H108" s="81" t="s">
        <v>180</v>
      </c>
      <c r="I108" s="87" t="s">
        <v>193</v>
      </c>
      <c r="J108" s="81" t="s">
        <v>78</v>
      </c>
      <c r="K108" s="81"/>
      <c r="L108" s="81">
        <v>1</v>
      </c>
      <c r="M108" s="81">
        <v>69724</v>
      </c>
      <c r="N108" s="81" t="s">
        <v>71</v>
      </c>
      <c r="O108" s="81" t="s">
        <v>161</v>
      </c>
      <c r="P108" s="91">
        <v>0</v>
      </c>
      <c r="Q108" s="81"/>
      <c r="R108" s="91">
        <v>0</v>
      </c>
      <c r="S108" s="89">
        <v>46023</v>
      </c>
      <c r="T108" s="91">
        <v>0</v>
      </c>
      <c r="U108" s="90">
        <v>4</v>
      </c>
      <c r="V108" s="91">
        <v>0</v>
      </c>
      <c r="W108" s="81" t="s">
        <v>85</v>
      </c>
      <c r="X108" s="81" t="s">
        <v>76</v>
      </c>
      <c r="Y108" s="81" t="s">
        <v>6</v>
      </c>
      <c r="Z108" s="81" t="s">
        <v>57</v>
      </c>
      <c r="AA108" s="81" t="s">
        <v>32</v>
      </c>
      <c r="AB108" s="90" t="s">
        <v>162</v>
      </c>
      <c r="AC108" s="81" t="s">
        <v>65</v>
      </c>
    </row>
    <row r="109" spans="1:29">
      <c r="A109" s="81" t="s">
        <v>93</v>
      </c>
      <c r="B109" s="84">
        <v>46047</v>
      </c>
      <c r="C109" s="83">
        <v>46047</v>
      </c>
      <c r="D109" s="85" t="s">
        <v>169</v>
      </c>
      <c r="E109" s="86">
        <v>0.25</v>
      </c>
      <c r="F109" s="86">
        <v>0.99930555555555556</v>
      </c>
      <c r="G109" s="86">
        <v>3.4722222222222218E-4</v>
      </c>
      <c r="H109" s="81" t="s">
        <v>180</v>
      </c>
      <c r="I109" s="87" t="s">
        <v>194</v>
      </c>
      <c r="J109" s="81" t="s">
        <v>78</v>
      </c>
      <c r="K109" s="81"/>
      <c r="L109" s="81">
        <v>1</v>
      </c>
      <c r="M109" s="81">
        <v>69724</v>
      </c>
      <c r="N109" s="81" t="s">
        <v>71</v>
      </c>
      <c r="O109" s="81" t="s">
        <v>161</v>
      </c>
      <c r="P109" s="91">
        <v>0</v>
      </c>
      <c r="Q109" s="81"/>
      <c r="R109" s="91">
        <v>0</v>
      </c>
      <c r="S109" s="89">
        <v>46023</v>
      </c>
      <c r="T109" s="91">
        <v>0</v>
      </c>
      <c r="U109" s="90">
        <v>4</v>
      </c>
      <c r="V109" s="91">
        <v>0</v>
      </c>
      <c r="W109" s="81" t="s">
        <v>85</v>
      </c>
      <c r="X109" s="81" t="s">
        <v>76</v>
      </c>
      <c r="Y109" s="81" t="s">
        <v>6</v>
      </c>
      <c r="Z109" s="81" t="s">
        <v>57</v>
      </c>
      <c r="AA109" s="81" t="s">
        <v>32</v>
      </c>
      <c r="AB109" s="90" t="s">
        <v>162</v>
      </c>
      <c r="AC109" s="81" t="s">
        <v>65</v>
      </c>
    </row>
    <row r="110" spans="1:29">
      <c r="A110" s="81" t="s">
        <v>93</v>
      </c>
      <c r="B110" s="84">
        <v>46047</v>
      </c>
      <c r="C110" s="83">
        <v>46047</v>
      </c>
      <c r="D110" s="85" t="s">
        <v>169</v>
      </c>
      <c r="E110" s="86">
        <v>0.25</v>
      </c>
      <c r="F110" s="86">
        <v>0.99930555555555556</v>
      </c>
      <c r="G110" s="86">
        <v>3.4722222222222218E-4</v>
      </c>
      <c r="H110" s="81" t="s">
        <v>180</v>
      </c>
      <c r="I110" s="87" t="s">
        <v>195</v>
      </c>
      <c r="J110" s="81" t="s">
        <v>78</v>
      </c>
      <c r="K110" s="81"/>
      <c r="L110" s="81">
        <v>1</v>
      </c>
      <c r="M110" s="81">
        <v>69724</v>
      </c>
      <c r="N110" s="81" t="s">
        <v>71</v>
      </c>
      <c r="O110" s="81" t="s">
        <v>161</v>
      </c>
      <c r="P110" s="91">
        <v>0</v>
      </c>
      <c r="Q110" s="81"/>
      <c r="R110" s="91">
        <v>0</v>
      </c>
      <c r="S110" s="89">
        <v>46023</v>
      </c>
      <c r="T110" s="91">
        <v>0</v>
      </c>
      <c r="U110" s="90">
        <v>4</v>
      </c>
      <c r="V110" s="91">
        <v>0</v>
      </c>
      <c r="W110" s="81" t="s">
        <v>85</v>
      </c>
      <c r="X110" s="81" t="s">
        <v>76</v>
      </c>
      <c r="Y110" s="81" t="s">
        <v>6</v>
      </c>
      <c r="Z110" s="81" t="s">
        <v>57</v>
      </c>
      <c r="AA110" s="81" t="s">
        <v>32</v>
      </c>
      <c r="AB110" s="90" t="s">
        <v>162</v>
      </c>
      <c r="AC110" s="81" t="s">
        <v>65</v>
      </c>
    </row>
    <row r="111" spans="1:29">
      <c r="A111" s="81" t="s">
        <v>93</v>
      </c>
      <c r="B111" s="84">
        <v>46047</v>
      </c>
      <c r="C111" s="83">
        <v>46047</v>
      </c>
      <c r="D111" s="85" t="s">
        <v>169</v>
      </c>
      <c r="E111" s="86">
        <v>0.25</v>
      </c>
      <c r="F111" s="86">
        <v>0.99930555555555556</v>
      </c>
      <c r="G111" s="86">
        <v>3.4722222222222218E-4</v>
      </c>
      <c r="H111" s="81" t="s">
        <v>180</v>
      </c>
      <c r="I111" s="87" t="s">
        <v>196</v>
      </c>
      <c r="J111" s="81" t="s">
        <v>78</v>
      </c>
      <c r="K111" s="81"/>
      <c r="L111" s="81">
        <v>1</v>
      </c>
      <c r="M111" s="81">
        <v>69724</v>
      </c>
      <c r="N111" s="81" t="s">
        <v>71</v>
      </c>
      <c r="O111" s="81" t="s">
        <v>161</v>
      </c>
      <c r="P111" s="91">
        <v>0</v>
      </c>
      <c r="Q111" s="81"/>
      <c r="R111" s="91">
        <v>0</v>
      </c>
      <c r="S111" s="89">
        <v>46023</v>
      </c>
      <c r="T111" s="91">
        <v>0</v>
      </c>
      <c r="U111" s="90">
        <v>4</v>
      </c>
      <c r="V111" s="91">
        <v>0</v>
      </c>
      <c r="W111" s="81" t="s">
        <v>85</v>
      </c>
      <c r="X111" s="81" t="s">
        <v>76</v>
      </c>
      <c r="Y111" s="81" t="s">
        <v>6</v>
      </c>
      <c r="Z111" s="81" t="s">
        <v>57</v>
      </c>
      <c r="AA111" s="81" t="s">
        <v>32</v>
      </c>
      <c r="AB111" s="90" t="s">
        <v>162</v>
      </c>
      <c r="AC111" s="81" t="s">
        <v>65</v>
      </c>
    </row>
    <row r="112" spans="1:29">
      <c r="A112" s="81" t="s">
        <v>93</v>
      </c>
      <c r="B112" s="84">
        <v>46047</v>
      </c>
      <c r="C112" s="83">
        <v>46047</v>
      </c>
      <c r="D112" s="85" t="s">
        <v>169</v>
      </c>
      <c r="E112" s="86">
        <v>0.25</v>
      </c>
      <c r="F112" s="86">
        <v>0.99930555555555556</v>
      </c>
      <c r="G112" s="86">
        <v>3.4722222222222218E-4</v>
      </c>
      <c r="H112" s="81" t="s">
        <v>180</v>
      </c>
      <c r="I112" s="87" t="s">
        <v>197</v>
      </c>
      <c r="J112" s="81" t="s">
        <v>78</v>
      </c>
      <c r="K112" s="81"/>
      <c r="L112" s="81">
        <v>1</v>
      </c>
      <c r="M112" s="81">
        <v>69724</v>
      </c>
      <c r="N112" s="81" t="s">
        <v>71</v>
      </c>
      <c r="O112" s="81" t="s">
        <v>161</v>
      </c>
      <c r="P112" s="91">
        <v>0</v>
      </c>
      <c r="Q112" s="81"/>
      <c r="R112" s="91">
        <v>0</v>
      </c>
      <c r="S112" s="89">
        <v>46023</v>
      </c>
      <c r="T112" s="91">
        <v>0</v>
      </c>
      <c r="U112" s="90">
        <v>4</v>
      </c>
      <c r="V112" s="91">
        <v>0</v>
      </c>
      <c r="W112" s="81" t="s">
        <v>85</v>
      </c>
      <c r="X112" s="81" t="s">
        <v>76</v>
      </c>
      <c r="Y112" s="81" t="s">
        <v>6</v>
      </c>
      <c r="Z112" s="81" t="s">
        <v>57</v>
      </c>
      <c r="AA112" s="81" t="s">
        <v>32</v>
      </c>
      <c r="AB112" s="90" t="s">
        <v>162</v>
      </c>
      <c r="AC112" s="81" t="s">
        <v>65</v>
      </c>
    </row>
    <row r="113" spans="1:29">
      <c r="A113" s="81" t="s">
        <v>93</v>
      </c>
      <c r="B113" s="84">
        <v>46047</v>
      </c>
      <c r="C113" s="83">
        <v>46047</v>
      </c>
      <c r="D113" s="85" t="s">
        <v>169</v>
      </c>
      <c r="E113" s="86">
        <v>0.25</v>
      </c>
      <c r="F113" s="86">
        <v>0.99930555555555556</v>
      </c>
      <c r="G113" s="86">
        <v>3.4722222222222218E-4</v>
      </c>
      <c r="H113" s="81" t="s">
        <v>180</v>
      </c>
      <c r="I113" s="87" t="s">
        <v>198</v>
      </c>
      <c r="J113" s="81" t="s">
        <v>78</v>
      </c>
      <c r="K113" s="81"/>
      <c r="L113" s="81">
        <v>1</v>
      </c>
      <c r="M113" s="81">
        <v>69724</v>
      </c>
      <c r="N113" s="81" t="s">
        <v>71</v>
      </c>
      <c r="O113" s="81" t="s">
        <v>161</v>
      </c>
      <c r="P113" s="91">
        <v>0</v>
      </c>
      <c r="Q113" s="81"/>
      <c r="R113" s="91">
        <v>0</v>
      </c>
      <c r="S113" s="89">
        <v>46023</v>
      </c>
      <c r="T113" s="91">
        <v>0</v>
      </c>
      <c r="U113" s="90">
        <v>4</v>
      </c>
      <c r="V113" s="91">
        <v>0</v>
      </c>
      <c r="W113" s="81" t="s">
        <v>85</v>
      </c>
      <c r="X113" s="81" t="s">
        <v>76</v>
      </c>
      <c r="Y113" s="81" t="s">
        <v>6</v>
      </c>
      <c r="Z113" s="81" t="s">
        <v>57</v>
      </c>
      <c r="AA113" s="81" t="s">
        <v>32</v>
      </c>
      <c r="AB113" s="90" t="s">
        <v>162</v>
      </c>
      <c r="AC113" s="81" t="s">
        <v>65</v>
      </c>
    </row>
    <row r="114" spans="1:29">
      <c r="A114" s="81" t="s">
        <v>93</v>
      </c>
      <c r="B114" s="84">
        <v>46047</v>
      </c>
      <c r="C114" s="83">
        <v>46047</v>
      </c>
      <c r="D114" s="85" t="s">
        <v>169</v>
      </c>
      <c r="E114" s="86">
        <v>0.25</v>
      </c>
      <c r="F114" s="86">
        <v>0.99930555555555556</v>
      </c>
      <c r="G114" s="86">
        <v>3.4722222222222218E-4</v>
      </c>
      <c r="H114" s="81" t="s">
        <v>180</v>
      </c>
      <c r="I114" s="87" t="s">
        <v>199</v>
      </c>
      <c r="J114" s="81" t="s">
        <v>78</v>
      </c>
      <c r="K114" s="81"/>
      <c r="L114" s="81">
        <v>1</v>
      </c>
      <c r="M114" s="81">
        <v>69724</v>
      </c>
      <c r="N114" s="81" t="s">
        <v>71</v>
      </c>
      <c r="O114" s="81" t="s">
        <v>161</v>
      </c>
      <c r="P114" s="91">
        <v>0</v>
      </c>
      <c r="Q114" s="81"/>
      <c r="R114" s="91">
        <v>0</v>
      </c>
      <c r="S114" s="89">
        <v>46023</v>
      </c>
      <c r="T114" s="91">
        <v>0</v>
      </c>
      <c r="U114" s="90">
        <v>4</v>
      </c>
      <c r="V114" s="91">
        <v>0</v>
      </c>
      <c r="W114" s="81" t="s">
        <v>85</v>
      </c>
      <c r="X114" s="81" t="s">
        <v>76</v>
      </c>
      <c r="Y114" s="81" t="s">
        <v>6</v>
      </c>
      <c r="Z114" s="81" t="s">
        <v>57</v>
      </c>
      <c r="AA114" s="81" t="s">
        <v>32</v>
      </c>
      <c r="AB114" s="90" t="s">
        <v>162</v>
      </c>
      <c r="AC114" s="81" t="s">
        <v>65</v>
      </c>
    </row>
    <row r="115" spans="1:29">
      <c r="A115" s="81" t="s">
        <v>93</v>
      </c>
      <c r="B115" s="84">
        <v>46047</v>
      </c>
      <c r="C115" s="83">
        <v>46047</v>
      </c>
      <c r="D115" s="85" t="s">
        <v>169</v>
      </c>
      <c r="E115" s="86">
        <v>0.25</v>
      </c>
      <c r="F115" s="86">
        <v>0.99930555555555556</v>
      </c>
      <c r="G115" s="86">
        <v>3.4722222222222218E-4</v>
      </c>
      <c r="H115" s="81" t="s">
        <v>180</v>
      </c>
      <c r="I115" s="87" t="s">
        <v>200</v>
      </c>
      <c r="J115" s="81" t="s">
        <v>78</v>
      </c>
      <c r="K115" s="81"/>
      <c r="L115" s="81">
        <v>1</v>
      </c>
      <c r="M115" s="81">
        <v>69724</v>
      </c>
      <c r="N115" s="81" t="s">
        <v>71</v>
      </c>
      <c r="O115" s="81" t="s">
        <v>161</v>
      </c>
      <c r="P115" s="91">
        <v>0</v>
      </c>
      <c r="Q115" s="81"/>
      <c r="R115" s="91">
        <v>0</v>
      </c>
      <c r="S115" s="89">
        <v>46023</v>
      </c>
      <c r="T115" s="91">
        <v>0</v>
      </c>
      <c r="U115" s="90">
        <v>4</v>
      </c>
      <c r="V115" s="91">
        <v>0</v>
      </c>
      <c r="W115" s="81" t="s">
        <v>85</v>
      </c>
      <c r="X115" s="81" t="s">
        <v>76</v>
      </c>
      <c r="Y115" s="81" t="s">
        <v>6</v>
      </c>
      <c r="Z115" s="81" t="s">
        <v>57</v>
      </c>
      <c r="AA115" s="81" t="s">
        <v>32</v>
      </c>
      <c r="AB115" s="90" t="s">
        <v>162</v>
      </c>
      <c r="AC115" s="81" t="s">
        <v>65</v>
      </c>
    </row>
    <row r="116" spans="1:29">
      <c r="A116" s="81" t="s">
        <v>93</v>
      </c>
      <c r="B116" s="84">
        <v>46047</v>
      </c>
      <c r="C116" s="83">
        <v>46047</v>
      </c>
      <c r="D116" s="85" t="s">
        <v>169</v>
      </c>
      <c r="E116" s="86">
        <v>0.25</v>
      </c>
      <c r="F116" s="86">
        <v>0.99930555555555556</v>
      </c>
      <c r="G116" s="86">
        <v>3.4722222222222218E-4</v>
      </c>
      <c r="H116" s="81" t="s">
        <v>180</v>
      </c>
      <c r="I116" s="87" t="s">
        <v>201</v>
      </c>
      <c r="J116" s="81" t="s">
        <v>78</v>
      </c>
      <c r="K116" s="81"/>
      <c r="L116" s="81">
        <v>1</v>
      </c>
      <c r="M116" s="81">
        <v>69724</v>
      </c>
      <c r="N116" s="81" t="s">
        <v>71</v>
      </c>
      <c r="O116" s="81" t="s">
        <v>161</v>
      </c>
      <c r="P116" s="91">
        <v>0</v>
      </c>
      <c r="Q116" s="81"/>
      <c r="R116" s="91">
        <v>0</v>
      </c>
      <c r="S116" s="89">
        <v>46023</v>
      </c>
      <c r="T116" s="91">
        <v>0</v>
      </c>
      <c r="U116" s="90">
        <v>4</v>
      </c>
      <c r="V116" s="91">
        <v>0</v>
      </c>
      <c r="W116" s="81" t="s">
        <v>85</v>
      </c>
      <c r="X116" s="81" t="s">
        <v>76</v>
      </c>
      <c r="Y116" s="81" t="s">
        <v>6</v>
      </c>
      <c r="Z116" s="81" t="s">
        <v>57</v>
      </c>
      <c r="AA116" s="81" t="s">
        <v>32</v>
      </c>
      <c r="AB116" s="90" t="s">
        <v>162</v>
      </c>
      <c r="AC116" s="81" t="s">
        <v>65</v>
      </c>
    </row>
    <row r="117" spans="1:29">
      <c r="A117" s="81" t="s">
        <v>93</v>
      </c>
      <c r="B117" s="84">
        <v>46047</v>
      </c>
      <c r="C117" s="83">
        <v>46047</v>
      </c>
      <c r="D117" s="85" t="s">
        <v>169</v>
      </c>
      <c r="E117" s="86">
        <v>0.25</v>
      </c>
      <c r="F117" s="86">
        <v>0.99930555555555556</v>
      </c>
      <c r="G117" s="86">
        <v>3.4722222222222218E-4</v>
      </c>
      <c r="H117" s="81" t="s">
        <v>180</v>
      </c>
      <c r="I117" s="87" t="s">
        <v>202</v>
      </c>
      <c r="J117" s="81" t="s">
        <v>78</v>
      </c>
      <c r="K117" s="81"/>
      <c r="L117" s="81">
        <v>1</v>
      </c>
      <c r="M117" s="81">
        <v>69724</v>
      </c>
      <c r="N117" s="81" t="s">
        <v>71</v>
      </c>
      <c r="O117" s="81" t="s">
        <v>161</v>
      </c>
      <c r="P117" s="91">
        <v>0</v>
      </c>
      <c r="Q117" s="81"/>
      <c r="R117" s="91">
        <v>0</v>
      </c>
      <c r="S117" s="89">
        <v>46023</v>
      </c>
      <c r="T117" s="91">
        <v>0</v>
      </c>
      <c r="U117" s="90">
        <v>4</v>
      </c>
      <c r="V117" s="91">
        <v>0</v>
      </c>
      <c r="W117" s="81" t="s">
        <v>85</v>
      </c>
      <c r="X117" s="81" t="s">
        <v>76</v>
      </c>
      <c r="Y117" s="81" t="s">
        <v>6</v>
      </c>
      <c r="Z117" s="81" t="s">
        <v>57</v>
      </c>
      <c r="AA117" s="81" t="s">
        <v>32</v>
      </c>
      <c r="AB117" s="90" t="s">
        <v>162</v>
      </c>
      <c r="AC117" s="81" t="s">
        <v>65</v>
      </c>
    </row>
    <row r="118" spans="1:29">
      <c r="A118" s="81" t="s">
        <v>93</v>
      </c>
      <c r="B118" s="84">
        <v>46047</v>
      </c>
      <c r="C118" s="83">
        <v>46047</v>
      </c>
      <c r="D118" s="85" t="s">
        <v>169</v>
      </c>
      <c r="E118" s="86">
        <v>0.25</v>
      </c>
      <c r="F118" s="86">
        <v>0.99930555555555556</v>
      </c>
      <c r="G118" s="86">
        <v>3.4722222222222218E-4</v>
      </c>
      <c r="H118" s="81" t="s">
        <v>180</v>
      </c>
      <c r="I118" s="87" t="s">
        <v>203</v>
      </c>
      <c r="J118" s="81" t="s">
        <v>78</v>
      </c>
      <c r="K118" s="81"/>
      <c r="L118" s="81">
        <v>1</v>
      </c>
      <c r="M118" s="81">
        <v>69724</v>
      </c>
      <c r="N118" s="81" t="s">
        <v>71</v>
      </c>
      <c r="O118" s="81" t="s">
        <v>161</v>
      </c>
      <c r="P118" s="91">
        <v>0</v>
      </c>
      <c r="Q118" s="81"/>
      <c r="R118" s="91">
        <v>0</v>
      </c>
      <c r="S118" s="89">
        <v>46023</v>
      </c>
      <c r="T118" s="91">
        <v>0</v>
      </c>
      <c r="U118" s="90">
        <v>4</v>
      </c>
      <c r="V118" s="91">
        <v>0</v>
      </c>
      <c r="W118" s="81" t="s">
        <v>85</v>
      </c>
      <c r="X118" s="81" t="s">
        <v>76</v>
      </c>
      <c r="Y118" s="81" t="s">
        <v>6</v>
      </c>
      <c r="Z118" s="81" t="s">
        <v>57</v>
      </c>
      <c r="AA118" s="81" t="s">
        <v>32</v>
      </c>
      <c r="AB118" s="90" t="s">
        <v>162</v>
      </c>
      <c r="AC118" s="81" t="s">
        <v>65</v>
      </c>
    </row>
    <row r="119" spans="1:29">
      <c r="A119" s="81" t="s">
        <v>93</v>
      </c>
      <c r="B119" s="84">
        <v>46047</v>
      </c>
      <c r="C119" s="83">
        <v>46047</v>
      </c>
      <c r="D119" s="85" t="s">
        <v>169</v>
      </c>
      <c r="E119" s="86">
        <v>0.25</v>
      </c>
      <c r="F119" s="86">
        <v>0.99930555555555556</v>
      </c>
      <c r="G119" s="86">
        <v>3.4722222222222218E-4</v>
      </c>
      <c r="H119" s="81" t="s">
        <v>180</v>
      </c>
      <c r="I119" s="87" t="s">
        <v>204</v>
      </c>
      <c r="J119" s="81" t="s">
        <v>78</v>
      </c>
      <c r="K119" s="81"/>
      <c r="L119" s="81">
        <v>1</v>
      </c>
      <c r="M119" s="81">
        <v>69724</v>
      </c>
      <c r="N119" s="81" t="s">
        <v>71</v>
      </c>
      <c r="O119" s="81" t="s">
        <v>161</v>
      </c>
      <c r="P119" s="91">
        <v>0</v>
      </c>
      <c r="Q119" s="81"/>
      <c r="R119" s="91">
        <v>0</v>
      </c>
      <c r="S119" s="89">
        <v>46023</v>
      </c>
      <c r="T119" s="91">
        <v>0</v>
      </c>
      <c r="U119" s="90">
        <v>4</v>
      </c>
      <c r="V119" s="91">
        <v>0</v>
      </c>
      <c r="W119" s="81" t="s">
        <v>85</v>
      </c>
      <c r="X119" s="81" t="s">
        <v>76</v>
      </c>
      <c r="Y119" s="81" t="s">
        <v>6</v>
      </c>
      <c r="Z119" s="81" t="s">
        <v>57</v>
      </c>
      <c r="AA119" s="81" t="s">
        <v>32</v>
      </c>
      <c r="AB119" s="90" t="s">
        <v>162</v>
      </c>
      <c r="AC119" s="81" t="s">
        <v>65</v>
      </c>
    </row>
    <row r="120" spans="1:29">
      <c r="A120" s="81" t="s">
        <v>93</v>
      </c>
      <c r="B120" s="84">
        <v>46047</v>
      </c>
      <c r="C120" s="83">
        <v>46047</v>
      </c>
      <c r="D120" s="85" t="s">
        <v>169</v>
      </c>
      <c r="E120" s="86">
        <v>0.25</v>
      </c>
      <c r="F120" s="86">
        <v>0.99930555555555556</v>
      </c>
      <c r="G120" s="86">
        <v>3.4722222222222218E-4</v>
      </c>
      <c r="H120" s="81" t="s">
        <v>180</v>
      </c>
      <c r="I120" s="87" t="s">
        <v>205</v>
      </c>
      <c r="J120" s="81" t="s">
        <v>78</v>
      </c>
      <c r="K120" s="81"/>
      <c r="L120" s="81">
        <v>1</v>
      </c>
      <c r="M120" s="81">
        <v>69724</v>
      </c>
      <c r="N120" s="81" t="s">
        <v>71</v>
      </c>
      <c r="O120" s="81" t="s">
        <v>161</v>
      </c>
      <c r="P120" s="91">
        <v>0</v>
      </c>
      <c r="Q120" s="81"/>
      <c r="R120" s="91">
        <v>0</v>
      </c>
      <c r="S120" s="89">
        <v>46023</v>
      </c>
      <c r="T120" s="91">
        <v>0</v>
      </c>
      <c r="U120" s="90">
        <v>4</v>
      </c>
      <c r="V120" s="91">
        <v>0</v>
      </c>
      <c r="W120" s="81" t="s">
        <v>85</v>
      </c>
      <c r="X120" s="81" t="s">
        <v>76</v>
      </c>
      <c r="Y120" s="81" t="s">
        <v>6</v>
      </c>
      <c r="Z120" s="81" t="s">
        <v>57</v>
      </c>
      <c r="AA120" s="81" t="s">
        <v>32</v>
      </c>
      <c r="AB120" s="90" t="s">
        <v>162</v>
      </c>
      <c r="AC120" s="81" t="s">
        <v>65</v>
      </c>
    </row>
    <row r="121" spans="1:29">
      <c r="A121" s="81" t="s">
        <v>93</v>
      </c>
      <c r="B121" s="84">
        <v>46047</v>
      </c>
      <c r="C121" s="83">
        <v>46047</v>
      </c>
      <c r="D121" s="85" t="s">
        <v>169</v>
      </c>
      <c r="E121" s="86">
        <v>0.25</v>
      </c>
      <c r="F121" s="86">
        <v>0.99930555555555556</v>
      </c>
      <c r="G121" s="86">
        <v>3.4722222222222218E-4</v>
      </c>
      <c r="H121" s="81" t="s">
        <v>180</v>
      </c>
      <c r="I121" s="87" t="s">
        <v>206</v>
      </c>
      <c r="J121" s="81" t="s">
        <v>78</v>
      </c>
      <c r="K121" s="81"/>
      <c r="L121" s="81">
        <v>1</v>
      </c>
      <c r="M121" s="81">
        <v>69724</v>
      </c>
      <c r="N121" s="81" t="s">
        <v>71</v>
      </c>
      <c r="O121" s="81" t="s">
        <v>161</v>
      </c>
      <c r="P121" s="91">
        <v>0</v>
      </c>
      <c r="Q121" s="81"/>
      <c r="R121" s="91">
        <v>0</v>
      </c>
      <c r="S121" s="89">
        <v>46023</v>
      </c>
      <c r="T121" s="91">
        <v>0</v>
      </c>
      <c r="U121" s="90">
        <v>4</v>
      </c>
      <c r="V121" s="91">
        <v>0</v>
      </c>
      <c r="W121" s="81" t="s">
        <v>85</v>
      </c>
      <c r="X121" s="81" t="s">
        <v>76</v>
      </c>
      <c r="Y121" s="81" t="s">
        <v>6</v>
      </c>
      <c r="Z121" s="81" t="s">
        <v>57</v>
      </c>
      <c r="AA121" s="81" t="s">
        <v>32</v>
      </c>
      <c r="AB121" s="90" t="s">
        <v>162</v>
      </c>
      <c r="AC121" s="81" t="s">
        <v>65</v>
      </c>
    </row>
    <row r="122" spans="1:29">
      <c r="A122" s="81" t="s">
        <v>93</v>
      </c>
      <c r="B122" s="84">
        <v>46047</v>
      </c>
      <c r="C122" s="83">
        <v>46047</v>
      </c>
      <c r="D122" s="85" t="s">
        <v>169</v>
      </c>
      <c r="E122" s="86">
        <v>0.25</v>
      </c>
      <c r="F122" s="86">
        <v>0.99930555555555556</v>
      </c>
      <c r="G122" s="86">
        <v>3.4722222222222218E-4</v>
      </c>
      <c r="H122" s="81" t="s">
        <v>180</v>
      </c>
      <c r="I122" s="87" t="s">
        <v>207</v>
      </c>
      <c r="J122" s="81" t="s">
        <v>78</v>
      </c>
      <c r="K122" s="81"/>
      <c r="L122" s="81">
        <v>1</v>
      </c>
      <c r="M122" s="81">
        <v>69724</v>
      </c>
      <c r="N122" s="81" t="s">
        <v>71</v>
      </c>
      <c r="O122" s="81" t="s">
        <v>161</v>
      </c>
      <c r="P122" s="91">
        <v>0</v>
      </c>
      <c r="Q122" s="81"/>
      <c r="R122" s="91">
        <v>0</v>
      </c>
      <c r="S122" s="89">
        <v>46023</v>
      </c>
      <c r="T122" s="91">
        <v>0</v>
      </c>
      <c r="U122" s="90">
        <v>4</v>
      </c>
      <c r="V122" s="91">
        <v>0</v>
      </c>
      <c r="W122" s="81" t="s">
        <v>85</v>
      </c>
      <c r="X122" s="81" t="s">
        <v>76</v>
      </c>
      <c r="Y122" s="81" t="s">
        <v>6</v>
      </c>
      <c r="Z122" s="81" t="s">
        <v>57</v>
      </c>
      <c r="AA122" s="81" t="s">
        <v>32</v>
      </c>
      <c r="AB122" s="90" t="s">
        <v>162</v>
      </c>
      <c r="AC122" s="81" t="s">
        <v>65</v>
      </c>
    </row>
    <row r="123" spans="1:29">
      <c r="A123" s="81" t="s">
        <v>93</v>
      </c>
      <c r="B123" s="84">
        <v>46047</v>
      </c>
      <c r="C123" s="83">
        <v>46047</v>
      </c>
      <c r="D123" s="85" t="s">
        <v>169</v>
      </c>
      <c r="E123" s="86">
        <v>0.25</v>
      </c>
      <c r="F123" s="86">
        <v>0.99930555555555556</v>
      </c>
      <c r="G123" s="86">
        <v>3.4722222222222218E-4</v>
      </c>
      <c r="H123" s="81" t="s">
        <v>180</v>
      </c>
      <c r="I123" s="87" t="s">
        <v>134</v>
      </c>
      <c r="J123" s="81" t="s">
        <v>78</v>
      </c>
      <c r="K123" s="81"/>
      <c r="L123" s="81">
        <v>1</v>
      </c>
      <c r="M123" s="81">
        <v>69724</v>
      </c>
      <c r="N123" s="81" t="s">
        <v>71</v>
      </c>
      <c r="O123" s="81" t="s">
        <v>161</v>
      </c>
      <c r="P123" s="91">
        <v>0</v>
      </c>
      <c r="Q123" s="81"/>
      <c r="R123" s="91">
        <v>0</v>
      </c>
      <c r="S123" s="89">
        <v>46023</v>
      </c>
      <c r="T123" s="91">
        <v>0</v>
      </c>
      <c r="U123" s="90">
        <v>4</v>
      </c>
      <c r="V123" s="91">
        <v>0</v>
      </c>
      <c r="W123" s="81" t="s">
        <v>85</v>
      </c>
      <c r="X123" s="81" t="s">
        <v>76</v>
      </c>
      <c r="Y123" s="81" t="s">
        <v>6</v>
      </c>
      <c r="Z123" s="81" t="s">
        <v>57</v>
      </c>
      <c r="AA123" s="81" t="s">
        <v>32</v>
      </c>
      <c r="AB123" s="90" t="s">
        <v>162</v>
      </c>
      <c r="AC123" s="81" t="s">
        <v>65</v>
      </c>
    </row>
    <row r="124" spans="1:29">
      <c r="A124" s="81" t="s">
        <v>93</v>
      </c>
      <c r="B124" s="84">
        <v>46047</v>
      </c>
      <c r="C124" s="83">
        <v>46047</v>
      </c>
      <c r="D124" s="85" t="s">
        <v>169</v>
      </c>
      <c r="E124" s="86">
        <v>0.25</v>
      </c>
      <c r="F124" s="86">
        <v>0.99930555555555556</v>
      </c>
      <c r="G124" s="86">
        <v>3.4722222222222218E-4</v>
      </c>
      <c r="H124" s="81" t="s">
        <v>180</v>
      </c>
      <c r="I124" s="87" t="s">
        <v>109</v>
      </c>
      <c r="J124" s="81" t="s">
        <v>78</v>
      </c>
      <c r="K124" s="81"/>
      <c r="L124" s="81">
        <v>1</v>
      </c>
      <c r="M124" s="81">
        <v>69724</v>
      </c>
      <c r="N124" s="81" t="s">
        <v>71</v>
      </c>
      <c r="O124" s="81" t="s">
        <v>161</v>
      </c>
      <c r="P124" s="91">
        <v>0</v>
      </c>
      <c r="Q124" s="81"/>
      <c r="R124" s="91">
        <v>0</v>
      </c>
      <c r="S124" s="89">
        <v>46023</v>
      </c>
      <c r="T124" s="91">
        <v>0</v>
      </c>
      <c r="U124" s="90">
        <v>4</v>
      </c>
      <c r="V124" s="91">
        <v>0</v>
      </c>
      <c r="W124" s="81" t="s">
        <v>85</v>
      </c>
      <c r="X124" s="81" t="s">
        <v>76</v>
      </c>
      <c r="Y124" s="81" t="s">
        <v>6</v>
      </c>
      <c r="Z124" s="81" t="s">
        <v>57</v>
      </c>
      <c r="AA124" s="81" t="s">
        <v>32</v>
      </c>
      <c r="AB124" s="90" t="s">
        <v>162</v>
      </c>
      <c r="AC124" s="81" t="s">
        <v>65</v>
      </c>
    </row>
    <row r="125" spans="1:29">
      <c r="A125" s="81" t="s">
        <v>93</v>
      </c>
      <c r="B125" s="84">
        <v>46047</v>
      </c>
      <c r="C125" s="83">
        <v>46047</v>
      </c>
      <c r="D125" s="85" t="s">
        <v>169</v>
      </c>
      <c r="E125" s="86">
        <v>0.25</v>
      </c>
      <c r="F125" s="86">
        <v>0.99930555555555556</v>
      </c>
      <c r="G125" s="86">
        <v>3.4722222222222218E-4</v>
      </c>
      <c r="H125" s="81" t="s">
        <v>180</v>
      </c>
      <c r="I125" s="87" t="s">
        <v>111</v>
      </c>
      <c r="J125" s="81" t="s">
        <v>78</v>
      </c>
      <c r="K125" s="81"/>
      <c r="L125" s="81">
        <v>1</v>
      </c>
      <c r="M125" s="81">
        <v>69724</v>
      </c>
      <c r="N125" s="81" t="s">
        <v>71</v>
      </c>
      <c r="O125" s="81" t="s">
        <v>161</v>
      </c>
      <c r="P125" s="91">
        <v>0</v>
      </c>
      <c r="Q125" s="81"/>
      <c r="R125" s="91">
        <v>0</v>
      </c>
      <c r="S125" s="89">
        <v>46023</v>
      </c>
      <c r="T125" s="91">
        <v>0</v>
      </c>
      <c r="U125" s="90">
        <v>4</v>
      </c>
      <c r="V125" s="91">
        <v>0</v>
      </c>
      <c r="W125" s="81" t="s">
        <v>85</v>
      </c>
      <c r="X125" s="81" t="s">
        <v>76</v>
      </c>
      <c r="Y125" s="81" t="s">
        <v>6</v>
      </c>
      <c r="Z125" s="81" t="s">
        <v>57</v>
      </c>
      <c r="AA125" s="81" t="s">
        <v>32</v>
      </c>
      <c r="AB125" s="90" t="s">
        <v>162</v>
      </c>
      <c r="AC125" s="81" t="s">
        <v>65</v>
      </c>
    </row>
    <row r="126" spans="1:29">
      <c r="A126" s="81" t="s">
        <v>93</v>
      </c>
      <c r="B126" s="84">
        <v>46047</v>
      </c>
      <c r="C126" s="83">
        <v>46047</v>
      </c>
      <c r="D126" s="85" t="s">
        <v>169</v>
      </c>
      <c r="E126" s="86">
        <v>0.25</v>
      </c>
      <c r="F126" s="86">
        <v>0.99930555555555556</v>
      </c>
      <c r="G126" s="86">
        <v>3.4722222222222218E-4</v>
      </c>
      <c r="H126" s="81" t="s">
        <v>180</v>
      </c>
      <c r="I126" s="87" t="s">
        <v>119</v>
      </c>
      <c r="J126" s="81" t="s">
        <v>78</v>
      </c>
      <c r="K126" s="81"/>
      <c r="L126" s="81">
        <v>1</v>
      </c>
      <c r="M126" s="81">
        <v>69724</v>
      </c>
      <c r="N126" s="81" t="s">
        <v>71</v>
      </c>
      <c r="O126" s="81" t="s">
        <v>161</v>
      </c>
      <c r="P126" s="91">
        <v>0</v>
      </c>
      <c r="Q126" s="81"/>
      <c r="R126" s="91">
        <v>0</v>
      </c>
      <c r="S126" s="89">
        <v>46023</v>
      </c>
      <c r="T126" s="91">
        <v>0</v>
      </c>
      <c r="U126" s="90">
        <v>4</v>
      </c>
      <c r="V126" s="91">
        <v>0</v>
      </c>
      <c r="W126" s="81" t="s">
        <v>85</v>
      </c>
      <c r="X126" s="81" t="s">
        <v>76</v>
      </c>
      <c r="Y126" s="81" t="s">
        <v>6</v>
      </c>
      <c r="Z126" s="81" t="s">
        <v>57</v>
      </c>
      <c r="AA126" s="81" t="s">
        <v>32</v>
      </c>
      <c r="AB126" s="90" t="s">
        <v>162</v>
      </c>
      <c r="AC126" s="81" t="s">
        <v>65</v>
      </c>
    </row>
    <row r="127" spans="1:29">
      <c r="A127" s="81" t="s">
        <v>93</v>
      </c>
      <c r="B127" s="84">
        <v>46047</v>
      </c>
      <c r="C127" s="83">
        <v>46047</v>
      </c>
      <c r="D127" s="85" t="s">
        <v>169</v>
      </c>
      <c r="E127" s="86">
        <v>0.25</v>
      </c>
      <c r="F127" s="86">
        <v>0.99930555555555556</v>
      </c>
      <c r="G127" s="86">
        <v>3.4722222222222218E-4</v>
      </c>
      <c r="H127" s="81" t="s">
        <v>180</v>
      </c>
      <c r="I127" s="87" t="s">
        <v>167</v>
      </c>
      <c r="J127" s="81" t="s">
        <v>78</v>
      </c>
      <c r="K127" s="81"/>
      <c r="L127" s="81">
        <v>1</v>
      </c>
      <c r="M127" s="81">
        <v>69724</v>
      </c>
      <c r="N127" s="81" t="s">
        <v>71</v>
      </c>
      <c r="O127" s="81" t="s">
        <v>161</v>
      </c>
      <c r="P127" s="91">
        <v>0</v>
      </c>
      <c r="Q127" s="81"/>
      <c r="R127" s="91">
        <v>0</v>
      </c>
      <c r="S127" s="89">
        <v>46023</v>
      </c>
      <c r="T127" s="91">
        <v>0</v>
      </c>
      <c r="U127" s="90">
        <v>4</v>
      </c>
      <c r="V127" s="91">
        <v>0</v>
      </c>
      <c r="W127" s="81" t="s">
        <v>85</v>
      </c>
      <c r="X127" s="81" t="s">
        <v>76</v>
      </c>
      <c r="Y127" s="81" t="s">
        <v>6</v>
      </c>
      <c r="Z127" s="81" t="s">
        <v>57</v>
      </c>
      <c r="AA127" s="81" t="s">
        <v>32</v>
      </c>
      <c r="AB127" s="90" t="s">
        <v>162</v>
      </c>
      <c r="AC127" s="81" t="s">
        <v>65</v>
      </c>
    </row>
    <row r="128" spans="1:29">
      <c r="A128" s="81" t="s">
        <v>93</v>
      </c>
      <c r="B128" s="84">
        <v>46047</v>
      </c>
      <c r="C128" s="83">
        <v>46047</v>
      </c>
      <c r="D128" s="85" t="s">
        <v>169</v>
      </c>
      <c r="E128" s="86">
        <v>0.25</v>
      </c>
      <c r="F128" s="86">
        <v>0.99930555555555556</v>
      </c>
      <c r="G128" s="86">
        <v>3.4722222222222218E-4</v>
      </c>
      <c r="H128" s="81" t="s">
        <v>180</v>
      </c>
      <c r="I128" s="87" t="s">
        <v>130</v>
      </c>
      <c r="J128" s="81" t="s">
        <v>78</v>
      </c>
      <c r="K128" s="81"/>
      <c r="L128" s="81">
        <v>1</v>
      </c>
      <c r="M128" s="81">
        <v>69724</v>
      </c>
      <c r="N128" s="81" t="s">
        <v>71</v>
      </c>
      <c r="O128" s="81" t="s">
        <v>161</v>
      </c>
      <c r="P128" s="91">
        <v>0</v>
      </c>
      <c r="Q128" s="81"/>
      <c r="R128" s="91">
        <v>0</v>
      </c>
      <c r="S128" s="89">
        <v>46023</v>
      </c>
      <c r="T128" s="91">
        <v>0</v>
      </c>
      <c r="U128" s="90">
        <v>4</v>
      </c>
      <c r="V128" s="91">
        <v>0</v>
      </c>
      <c r="W128" s="81" t="s">
        <v>85</v>
      </c>
      <c r="X128" s="81" t="s">
        <v>76</v>
      </c>
      <c r="Y128" s="81" t="s">
        <v>6</v>
      </c>
      <c r="Z128" s="81" t="s">
        <v>57</v>
      </c>
      <c r="AA128" s="81" t="s">
        <v>32</v>
      </c>
      <c r="AB128" s="90" t="s">
        <v>162</v>
      </c>
      <c r="AC128" s="81" t="s">
        <v>65</v>
      </c>
    </row>
    <row r="129" spans="1:29">
      <c r="A129" s="81" t="s">
        <v>93</v>
      </c>
      <c r="B129" s="84">
        <v>46047</v>
      </c>
      <c r="C129" s="83">
        <v>46047</v>
      </c>
      <c r="D129" s="85" t="s">
        <v>169</v>
      </c>
      <c r="E129" s="86">
        <v>0.25</v>
      </c>
      <c r="F129" s="86">
        <v>0.99930555555555556</v>
      </c>
      <c r="G129" s="86">
        <v>3.4722222222222218E-4</v>
      </c>
      <c r="H129" s="81" t="s">
        <v>180</v>
      </c>
      <c r="I129" s="87" t="s">
        <v>121</v>
      </c>
      <c r="J129" s="81" t="s">
        <v>78</v>
      </c>
      <c r="K129" s="81"/>
      <c r="L129" s="81">
        <v>1</v>
      </c>
      <c r="M129" s="81">
        <v>69724</v>
      </c>
      <c r="N129" s="81" t="s">
        <v>71</v>
      </c>
      <c r="O129" s="81" t="s">
        <v>161</v>
      </c>
      <c r="P129" s="91">
        <v>0</v>
      </c>
      <c r="Q129" s="81"/>
      <c r="R129" s="91">
        <v>0</v>
      </c>
      <c r="S129" s="89">
        <v>46023</v>
      </c>
      <c r="T129" s="91">
        <v>0</v>
      </c>
      <c r="U129" s="90">
        <v>4</v>
      </c>
      <c r="V129" s="91">
        <v>0</v>
      </c>
      <c r="W129" s="81" t="s">
        <v>85</v>
      </c>
      <c r="X129" s="81" t="s">
        <v>76</v>
      </c>
      <c r="Y129" s="81" t="s">
        <v>6</v>
      </c>
      <c r="Z129" s="81" t="s">
        <v>57</v>
      </c>
      <c r="AA129" s="81" t="s">
        <v>32</v>
      </c>
      <c r="AB129" s="90" t="s">
        <v>162</v>
      </c>
      <c r="AC129" s="81" t="s">
        <v>65</v>
      </c>
    </row>
    <row r="130" spans="1:29">
      <c r="A130" s="81" t="s">
        <v>93</v>
      </c>
      <c r="B130" s="84">
        <v>46047</v>
      </c>
      <c r="C130" s="83">
        <v>46047</v>
      </c>
      <c r="D130" s="85" t="s">
        <v>169</v>
      </c>
      <c r="E130" s="86">
        <v>0.25</v>
      </c>
      <c r="F130" s="86">
        <v>0.99930555555555556</v>
      </c>
      <c r="G130" s="86">
        <v>3.4722222222222218E-4</v>
      </c>
      <c r="H130" s="81" t="s">
        <v>180</v>
      </c>
      <c r="I130" s="87" t="s">
        <v>123</v>
      </c>
      <c r="J130" s="81" t="s">
        <v>78</v>
      </c>
      <c r="K130" s="81"/>
      <c r="L130" s="81">
        <v>1</v>
      </c>
      <c r="M130" s="81">
        <v>69724</v>
      </c>
      <c r="N130" s="81" t="s">
        <v>71</v>
      </c>
      <c r="O130" s="81" t="s">
        <v>161</v>
      </c>
      <c r="P130" s="91">
        <v>0</v>
      </c>
      <c r="Q130" s="81"/>
      <c r="R130" s="91">
        <v>0</v>
      </c>
      <c r="S130" s="89">
        <v>46023</v>
      </c>
      <c r="T130" s="91">
        <v>0</v>
      </c>
      <c r="U130" s="90">
        <v>4</v>
      </c>
      <c r="V130" s="91">
        <v>0</v>
      </c>
      <c r="W130" s="81" t="s">
        <v>85</v>
      </c>
      <c r="X130" s="81" t="s">
        <v>76</v>
      </c>
      <c r="Y130" s="81" t="s">
        <v>6</v>
      </c>
      <c r="Z130" s="81" t="s">
        <v>57</v>
      </c>
      <c r="AA130" s="81" t="s">
        <v>32</v>
      </c>
      <c r="AB130" s="90" t="s">
        <v>162</v>
      </c>
      <c r="AC130" s="81" t="s">
        <v>65</v>
      </c>
    </row>
    <row r="131" spans="1:29">
      <c r="A131" s="81" t="s">
        <v>93</v>
      </c>
      <c r="B131" s="84">
        <v>46039</v>
      </c>
      <c r="C131" s="83">
        <v>46039</v>
      </c>
      <c r="D131" s="85" t="s">
        <v>168</v>
      </c>
      <c r="E131" s="86">
        <v>0.83333333333333337</v>
      </c>
      <c r="F131" s="86">
        <v>0.99930555555555556</v>
      </c>
      <c r="G131" s="86">
        <v>3.4722222222222218E-4</v>
      </c>
      <c r="H131" s="81" t="s">
        <v>180</v>
      </c>
      <c r="I131" s="87" t="s">
        <v>110</v>
      </c>
      <c r="J131" s="81" t="s">
        <v>78</v>
      </c>
      <c r="K131" s="81"/>
      <c r="L131" s="81">
        <v>1</v>
      </c>
      <c r="M131" s="81">
        <v>69725</v>
      </c>
      <c r="N131" s="81" t="s">
        <v>33</v>
      </c>
      <c r="O131" s="81" t="s">
        <v>161</v>
      </c>
      <c r="P131" s="91">
        <v>46</v>
      </c>
      <c r="Q131" s="81"/>
      <c r="R131" s="91">
        <v>46</v>
      </c>
      <c r="S131" s="89">
        <v>46023</v>
      </c>
      <c r="T131" s="91">
        <v>6.8999999999999995</v>
      </c>
      <c r="U131" s="90">
        <v>4</v>
      </c>
      <c r="V131" s="91">
        <v>39.1</v>
      </c>
      <c r="W131" s="81" t="s">
        <v>85</v>
      </c>
      <c r="X131" s="81" t="s">
        <v>76</v>
      </c>
      <c r="Y131" s="81" t="s">
        <v>6</v>
      </c>
      <c r="Z131" s="81" t="s">
        <v>57</v>
      </c>
      <c r="AA131" s="81" t="s">
        <v>32</v>
      </c>
      <c r="AB131" s="90" t="s">
        <v>162</v>
      </c>
      <c r="AC131" s="81" t="s">
        <v>65</v>
      </c>
    </row>
    <row r="132" spans="1:29">
      <c r="A132" s="81" t="s">
        <v>93</v>
      </c>
      <c r="B132" s="84">
        <v>46040</v>
      </c>
      <c r="C132" s="83">
        <v>46040</v>
      </c>
      <c r="D132" s="85" t="s">
        <v>169</v>
      </c>
      <c r="E132" s="86">
        <v>0.83333333333333337</v>
      </c>
      <c r="F132" s="86">
        <v>0.99930555555555556</v>
      </c>
      <c r="G132" s="86">
        <v>3.4722222222222218E-4</v>
      </c>
      <c r="H132" s="81" t="s">
        <v>180</v>
      </c>
      <c r="I132" s="87" t="s">
        <v>110</v>
      </c>
      <c r="J132" s="81" t="s">
        <v>78</v>
      </c>
      <c r="K132" s="81"/>
      <c r="L132" s="81">
        <v>1</v>
      </c>
      <c r="M132" s="81">
        <v>69725</v>
      </c>
      <c r="N132" s="81" t="s">
        <v>33</v>
      </c>
      <c r="O132" s="81" t="s">
        <v>161</v>
      </c>
      <c r="P132" s="91">
        <v>46</v>
      </c>
      <c r="Q132" s="81"/>
      <c r="R132" s="91">
        <v>46</v>
      </c>
      <c r="S132" s="89">
        <v>46023</v>
      </c>
      <c r="T132" s="91">
        <v>6.8999999999999995</v>
      </c>
      <c r="U132" s="90">
        <v>4</v>
      </c>
      <c r="V132" s="91">
        <v>39.1</v>
      </c>
      <c r="W132" s="81" t="s">
        <v>85</v>
      </c>
      <c r="X132" s="81" t="s">
        <v>76</v>
      </c>
      <c r="Y132" s="81" t="s">
        <v>6</v>
      </c>
      <c r="Z132" s="81" t="s">
        <v>57</v>
      </c>
      <c r="AA132" s="81" t="s">
        <v>32</v>
      </c>
      <c r="AB132" s="90" t="s">
        <v>162</v>
      </c>
      <c r="AC132" s="81" t="s">
        <v>65</v>
      </c>
    </row>
    <row r="133" spans="1:29">
      <c r="A133" s="81" t="s">
        <v>93</v>
      </c>
      <c r="B133" s="84">
        <v>46039</v>
      </c>
      <c r="C133" s="83">
        <v>46039</v>
      </c>
      <c r="D133" s="85" t="s">
        <v>168</v>
      </c>
      <c r="E133" s="86">
        <v>0.83333333333333337</v>
      </c>
      <c r="F133" s="86">
        <v>0.99930555555555556</v>
      </c>
      <c r="G133" s="86">
        <v>3.4722222222222218E-4</v>
      </c>
      <c r="H133" s="81" t="s">
        <v>180</v>
      </c>
      <c r="I133" s="87" t="s">
        <v>112</v>
      </c>
      <c r="J133" s="81" t="s">
        <v>78</v>
      </c>
      <c r="K133" s="81"/>
      <c r="L133" s="81">
        <v>1</v>
      </c>
      <c r="M133" s="81">
        <v>69725</v>
      </c>
      <c r="N133" s="81" t="s">
        <v>33</v>
      </c>
      <c r="O133" s="81" t="s">
        <v>161</v>
      </c>
      <c r="P133" s="91">
        <v>46</v>
      </c>
      <c r="Q133" s="81"/>
      <c r="R133" s="91">
        <v>46</v>
      </c>
      <c r="S133" s="89">
        <v>46023</v>
      </c>
      <c r="T133" s="91">
        <v>6.8999999999999995</v>
      </c>
      <c r="U133" s="90">
        <v>4</v>
      </c>
      <c r="V133" s="91">
        <v>39.1</v>
      </c>
      <c r="W133" s="81" t="s">
        <v>85</v>
      </c>
      <c r="X133" s="81" t="s">
        <v>76</v>
      </c>
      <c r="Y133" s="81" t="s">
        <v>6</v>
      </c>
      <c r="Z133" s="81" t="s">
        <v>57</v>
      </c>
      <c r="AA133" s="81" t="s">
        <v>32</v>
      </c>
      <c r="AB133" s="90" t="s">
        <v>162</v>
      </c>
      <c r="AC133" s="81" t="s">
        <v>65</v>
      </c>
    </row>
    <row r="134" spans="1:29">
      <c r="A134" s="81" t="s">
        <v>93</v>
      </c>
      <c r="B134" s="84">
        <v>46040</v>
      </c>
      <c r="C134" s="83">
        <v>46040</v>
      </c>
      <c r="D134" s="85" t="s">
        <v>169</v>
      </c>
      <c r="E134" s="86">
        <v>0.83333333333333337</v>
      </c>
      <c r="F134" s="86">
        <v>0.99930555555555556</v>
      </c>
      <c r="G134" s="86">
        <v>3.4722222222222218E-4</v>
      </c>
      <c r="H134" s="81" t="s">
        <v>180</v>
      </c>
      <c r="I134" s="87" t="s">
        <v>112</v>
      </c>
      <c r="J134" s="81" t="s">
        <v>78</v>
      </c>
      <c r="K134" s="81"/>
      <c r="L134" s="81">
        <v>1</v>
      </c>
      <c r="M134" s="81">
        <v>69725</v>
      </c>
      <c r="N134" s="81" t="s">
        <v>33</v>
      </c>
      <c r="O134" s="81" t="s">
        <v>161</v>
      </c>
      <c r="P134" s="91">
        <v>46</v>
      </c>
      <c r="Q134" s="81"/>
      <c r="R134" s="91">
        <v>46</v>
      </c>
      <c r="S134" s="89">
        <v>46023</v>
      </c>
      <c r="T134" s="91">
        <v>6.8999999999999995</v>
      </c>
      <c r="U134" s="90">
        <v>4</v>
      </c>
      <c r="V134" s="91">
        <v>39.1</v>
      </c>
      <c r="W134" s="81" t="s">
        <v>85</v>
      </c>
      <c r="X134" s="81" t="s">
        <v>76</v>
      </c>
      <c r="Y134" s="81" t="s">
        <v>6</v>
      </c>
      <c r="Z134" s="81" t="s">
        <v>57</v>
      </c>
      <c r="AA134" s="81" t="s">
        <v>32</v>
      </c>
      <c r="AB134" s="90" t="s">
        <v>162</v>
      </c>
      <c r="AC134" s="81" t="s">
        <v>65</v>
      </c>
    </row>
    <row r="135" spans="1:29">
      <c r="A135" s="81" t="s">
        <v>93</v>
      </c>
      <c r="B135" s="84">
        <v>46047</v>
      </c>
      <c r="C135" s="83">
        <v>46047</v>
      </c>
      <c r="D135" s="85" t="s">
        <v>169</v>
      </c>
      <c r="E135" s="86">
        <v>0.83333333333333337</v>
      </c>
      <c r="F135" s="86">
        <v>0.99930555555555556</v>
      </c>
      <c r="G135" s="86">
        <v>3.4722222222222218E-4</v>
      </c>
      <c r="H135" s="81" t="s">
        <v>180</v>
      </c>
      <c r="I135" s="87" t="s">
        <v>125</v>
      </c>
      <c r="J135" s="81" t="s">
        <v>78</v>
      </c>
      <c r="K135" s="81"/>
      <c r="L135" s="81">
        <v>1</v>
      </c>
      <c r="M135" s="81">
        <v>69725</v>
      </c>
      <c r="N135" s="81" t="s">
        <v>33</v>
      </c>
      <c r="O135" s="81" t="s">
        <v>161</v>
      </c>
      <c r="P135" s="91">
        <v>46</v>
      </c>
      <c r="Q135" s="81"/>
      <c r="R135" s="91">
        <v>46</v>
      </c>
      <c r="S135" s="89">
        <v>46023</v>
      </c>
      <c r="T135" s="91">
        <v>6.8999999999999995</v>
      </c>
      <c r="U135" s="90">
        <v>4</v>
      </c>
      <c r="V135" s="91">
        <v>39.1</v>
      </c>
      <c r="W135" s="81" t="s">
        <v>85</v>
      </c>
      <c r="X135" s="81" t="s">
        <v>76</v>
      </c>
      <c r="Y135" s="81" t="s">
        <v>6</v>
      </c>
      <c r="Z135" s="81" t="s">
        <v>57</v>
      </c>
      <c r="AA135" s="81" t="s">
        <v>32</v>
      </c>
      <c r="AB135" s="90" t="s">
        <v>162</v>
      </c>
      <c r="AC135" s="81" t="s">
        <v>65</v>
      </c>
    </row>
    <row r="136" spans="1:29">
      <c r="A136" s="81" t="s">
        <v>93</v>
      </c>
      <c r="B136" s="84">
        <v>46040</v>
      </c>
      <c r="C136" s="83">
        <v>46040</v>
      </c>
      <c r="D136" s="85" t="s">
        <v>169</v>
      </c>
      <c r="E136" s="86">
        <v>0.83333333333333337</v>
      </c>
      <c r="F136" s="86">
        <v>0.99930555555555556</v>
      </c>
      <c r="G136" s="86">
        <v>3.4722222222222218E-4</v>
      </c>
      <c r="H136" s="81" t="s">
        <v>180</v>
      </c>
      <c r="I136" s="87" t="s">
        <v>127</v>
      </c>
      <c r="J136" s="81" t="s">
        <v>78</v>
      </c>
      <c r="K136" s="81"/>
      <c r="L136" s="81">
        <v>1</v>
      </c>
      <c r="M136" s="81">
        <v>69725</v>
      </c>
      <c r="N136" s="81" t="s">
        <v>33</v>
      </c>
      <c r="O136" s="81" t="s">
        <v>161</v>
      </c>
      <c r="P136" s="91">
        <v>46</v>
      </c>
      <c r="Q136" s="81"/>
      <c r="R136" s="91">
        <v>46</v>
      </c>
      <c r="S136" s="89">
        <v>46023</v>
      </c>
      <c r="T136" s="91">
        <v>6.8999999999999995</v>
      </c>
      <c r="U136" s="90">
        <v>4</v>
      </c>
      <c r="V136" s="91">
        <v>39.1</v>
      </c>
      <c r="W136" s="81" t="s">
        <v>85</v>
      </c>
      <c r="X136" s="81" t="s">
        <v>76</v>
      </c>
      <c r="Y136" s="81" t="s">
        <v>6</v>
      </c>
      <c r="Z136" s="81" t="s">
        <v>57</v>
      </c>
      <c r="AA136" s="81" t="s">
        <v>32</v>
      </c>
      <c r="AB136" s="90" t="s">
        <v>162</v>
      </c>
      <c r="AC136" s="81" t="s">
        <v>65</v>
      </c>
    </row>
    <row r="137" spans="1:29">
      <c r="A137" s="81" t="s">
        <v>93</v>
      </c>
      <c r="B137" s="84">
        <v>46047</v>
      </c>
      <c r="C137" s="83">
        <v>46047</v>
      </c>
      <c r="D137" s="85" t="s">
        <v>169</v>
      </c>
      <c r="E137" s="86">
        <v>0.83333333333333337</v>
      </c>
      <c r="F137" s="86">
        <v>0.99930555555555556</v>
      </c>
      <c r="G137" s="86">
        <v>3.4722222222222218E-4</v>
      </c>
      <c r="H137" s="81" t="s">
        <v>180</v>
      </c>
      <c r="I137" s="87" t="s">
        <v>127</v>
      </c>
      <c r="J137" s="81" t="s">
        <v>78</v>
      </c>
      <c r="K137" s="81"/>
      <c r="L137" s="81">
        <v>1</v>
      </c>
      <c r="M137" s="81">
        <v>69725</v>
      </c>
      <c r="N137" s="81" t="s">
        <v>33</v>
      </c>
      <c r="O137" s="81" t="s">
        <v>161</v>
      </c>
      <c r="P137" s="91">
        <v>46</v>
      </c>
      <c r="Q137" s="81"/>
      <c r="R137" s="91">
        <v>46</v>
      </c>
      <c r="S137" s="89">
        <v>46023</v>
      </c>
      <c r="T137" s="91">
        <v>6.8999999999999995</v>
      </c>
      <c r="U137" s="90">
        <v>4</v>
      </c>
      <c r="V137" s="91">
        <v>39.1</v>
      </c>
      <c r="W137" s="81" t="s">
        <v>85</v>
      </c>
      <c r="X137" s="81" t="s">
        <v>76</v>
      </c>
      <c r="Y137" s="81" t="s">
        <v>6</v>
      </c>
      <c r="Z137" s="81" t="s">
        <v>57</v>
      </c>
      <c r="AA137" s="81" t="s">
        <v>32</v>
      </c>
      <c r="AB137" s="90" t="s">
        <v>162</v>
      </c>
      <c r="AC137" s="81" t="s">
        <v>65</v>
      </c>
    </row>
    <row r="138" spans="1:29">
      <c r="A138" s="81" t="s">
        <v>93</v>
      </c>
      <c r="B138" s="84">
        <v>46039</v>
      </c>
      <c r="C138" s="83">
        <v>46039</v>
      </c>
      <c r="D138" s="85" t="s">
        <v>168</v>
      </c>
      <c r="E138" s="86">
        <v>0.83333333333333337</v>
      </c>
      <c r="F138" s="86">
        <v>0.99930555555555556</v>
      </c>
      <c r="G138" s="86">
        <v>3.4722222222222218E-4</v>
      </c>
      <c r="H138" s="81" t="s">
        <v>180</v>
      </c>
      <c r="I138" s="87" t="s">
        <v>177</v>
      </c>
      <c r="J138" s="81" t="s">
        <v>78</v>
      </c>
      <c r="K138" s="81"/>
      <c r="L138" s="81">
        <v>1</v>
      </c>
      <c r="M138" s="81">
        <v>69725</v>
      </c>
      <c r="N138" s="81" t="s">
        <v>33</v>
      </c>
      <c r="O138" s="81" t="s">
        <v>161</v>
      </c>
      <c r="P138" s="91">
        <v>46</v>
      </c>
      <c r="Q138" s="81"/>
      <c r="R138" s="91">
        <v>46</v>
      </c>
      <c r="S138" s="89">
        <v>46023</v>
      </c>
      <c r="T138" s="91">
        <v>6.8999999999999995</v>
      </c>
      <c r="U138" s="90">
        <v>4</v>
      </c>
      <c r="V138" s="91">
        <v>39.1</v>
      </c>
      <c r="W138" s="81" t="s">
        <v>85</v>
      </c>
      <c r="X138" s="81" t="s">
        <v>76</v>
      </c>
      <c r="Y138" s="81" t="s">
        <v>6</v>
      </c>
      <c r="Z138" s="81" t="s">
        <v>57</v>
      </c>
      <c r="AA138" s="81" t="s">
        <v>32</v>
      </c>
      <c r="AB138" s="90" t="s">
        <v>162</v>
      </c>
      <c r="AC138" s="81" t="s">
        <v>65</v>
      </c>
    </row>
    <row r="139" spans="1:29">
      <c r="A139" s="81" t="s">
        <v>93</v>
      </c>
      <c r="B139" s="84">
        <v>46040</v>
      </c>
      <c r="C139" s="83">
        <v>46040</v>
      </c>
      <c r="D139" s="85" t="s">
        <v>169</v>
      </c>
      <c r="E139" s="86">
        <v>0.83333333333333337</v>
      </c>
      <c r="F139" s="86">
        <v>0.99930555555555556</v>
      </c>
      <c r="G139" s="86">
        <v>3.4722222222222218E-4</v>
      </c>
      <c r="H139" s="81" t="s">
        <v>180</v>
      </c>
      <c r="I139" s="87" t="s">
        <v>119</v>
      </c>
      <c r="J139" s="81" t="s">
        <v>78</v>
      </c>
      <c r="K139" s="81"/>
      <c r="L139" s="81">
        <v>1</v>
      </c>
      <c r="M139" s="81">
        <v>69725</v>
      </c>
      <c r="N139" s="81" t="s">
        <v>33</v>
      </c>
      <c r="O139" s="81" t="s">
        <v>161</v>
      </c>
      <c r="P139" s="91">
        <v>46</v>
      </c>
      <c r="Q139" s="81"/>
      <c r="R139" s="91">
        <v>46</v>
      </c>
      <c r="S139" s="89">
        <v>46023</v>
      </c>
      <c r="T139" s="91">
        <v>6.8999999999999995</v>
      </c>
      <c r="U139" s="90">
        <v>4</v>
      </c>
      <c r="V139" s="91">
        <v>39.1</v>
      </c>
      <c r="W139" s="81" t="s">
        <v>85</v>
      </c>
      <c r="X139" s="81" t="s">
        <v>76</v>
      </c>
      <c r="Y139" s="81" t="s">
        <v>6</v>
      </c>
      <c r="Z139" s="81" t="s">
        <v>57</v>
      </c>
      <c r="AA139" s="81" t="s">
        <v>32</v>
      </c>
      <c r="AB139" s="90" t="s">
        <v>162</v>
      </c>
      <c r="AC139" s="81" t="s">
        <v>65</v>
      </c>
    </row>
    <row r="140" spans="1:29">
      <c r="A140" s="81" t="s">
        <v>93</v>
      </c>
      <c r="B140" s="84">
        <v>46039</v>
      </c>
      <c r="C140" s="83">
        <v>46039</v>
      </c>
      <c r="D140" s="85" t="s">
        <v>168</v>
      </c>
      <c r="E140" s="86">
        <v>0.83333333333333337</v>
      </c>
      <c r="F140" s="86">
        <v>0.99930555555555556</v>
      </c>
      <c r="G140" s="86">
        <v>3.4722222222222218E-4</v>
      </c>
      <c r="H140" s="81" t="s">
        <v>180</v>
      </c>
      <c r="I140" s="87" t="s">
        <v>128</v>
      </c>
      <c r="J140" s="81" t="s">
        <v>78</v>
      </c>
      <c r="K140" s="81"/>
      <c r="L140" s="81">
        <v>1</v>
      </c>
      <c r="M140" s="81">
        <v>69725</v>
      </c>
      <c r="N140" s="81" t="s">
        <v>33</v>
      </c>
      <c r="O140" s="81" t="s">
        <v>161</v>
      </c>
      <c r="P140" s="91">
        <v>46</v>
      </c>
      <c r="Q140" s="81"/>
      <c r="R140" s="91">
        <v>46</v>
      </c>
      <c r="S140" s="89">
        <v>46023</v>
      </c>
      <c r="T140" s="91">
        <v>6.8999999999999995</v>
      </c>
      <c r="U140" s="90">
        <v>4</v>
      </c>
      <c r="V140" s="91">
        <v>39.1</v>
      </c>
      <c r="W140" s="81" t="s">
        <v>85</v>
      </c>
      <c r="X140" s="81" t="s">
        <v>76</v>
      </c>
      <c r="Y140" s="81" t="s">
        <v>6</v>
      </c>
      <c r="Z140" s="81" t="s">
        <v>57</v>
      </c>
      <c r="AA140" s="81" t="s">
        <v>32</v>
      </c>
      <c r="AB140" s="90" t="s">
        <v>162</v>
      </c>
      <c r="AC140" s="81" t="s">
        <v>65</v>
      </c>
    </row>
    <row r="141" spans="1:29">
      <c r="A141" s="81" t="s">
        <v>93</v>
      </c>
      <c r="B141" s="84">
        <v>46040</v>
      </c>
      <c r="C141" s="83">
        <v>46040</v>
      </c>
      <c r="D141" s="85" t="s">
        <v>169</v>
      </c>
      <c r="E141" s="86">
        <v>0.83333333333333337</v>
      </c>
      <c r="F141" s="86">
        <v>0.99930555555555556</v>
      </c>
      <c r="G141" s="86">
        <v>3.4722222222222218E-4</v>
      </c>
      <c r="H141" s="81" t="s">
        <v>180</v>
      </c>
      <c r="I141" s="87" t="s">
        <v>129</v>
      </c>
      <c r="J141" s="81" t="s">
        <v>78</v>
      </c>
      <c r="K141" s="81"/>
      <c r="L141" s="81">
        <v>1</v>
      </c>
      <c r="M141" s="81">
        <v>69725</v>
      </c>
      <c r="N141" s="81" t="s">
        <v>33</v>
      </c>
      <c r="O141" s="81" t="s">
        <v>161</v>
      </c>
      <c r="P141" s="91">
        <v>46</v>
      </c>
      <c r="Q141" s="81"/>
      <c r="R141" s="91">
        <v>46</v>
      </c>
      <c r="S141" s="89">
        <v>46023</v>
      </c>
      <c r="T141" s="91">
        <v>6.8999999999999995</v>
      </c>
      <c r="U141" s="90">
        <v>4</v>
      </c>
      <c r="V141" s="91">
        <v>39.1</v>
      </c>
      <c r="W141" s="81" t="s">
        <v>85</v>
      </c>
      <c r="X141" s="81" t="s">
        <v>76</v>
      </c>
      <c r="Y141" s="81" t="s">
        <v>6</v>
      </c>
      <c r="Z141" s="81" t="s">
        <v>57</v>
      </c>
      <c r="AA141" s="81" t="s">
        <v>32</v>
      </c>
      <c r="AB141" s="90" t="s">
        <v>162</v>
      </c>
      <c r="AC141" s="81" t="s">
        <v>65</v>
      </c>
    </row>
    <row r="142" spans="1:29">
      <c r="A142" s="81" t="s">
        <v>93</v>
      </c>
      <c r="B142" s="84">
        <v>46047</v>
      </c>
      <c r="C142" s="83">
        <v>46047</v>
      </c>
      <c r="D142" s="85" t="s">
        <v>169</v>
      </c>
      <c r="E142" s="86">
        <v>0.83333333333333337</v>
      </c>
      <c r="F142" s="86">
        <v>0.99930555555555556</v>
      </c>
      <c r="G142" s="86">
        <v>3.4722222222222218E-4</v>
      </c>
      <c r="H142" s="81" t="s">
        <v>180</v>
      </c>
      <c r="I142" s="87" t="s">
        <v>129</v>
      </c>
      <c r="J142" s="81" t="s">
        <v>78</v>
      </c>
      <c r="K142" s="81"/>
      <c r="L142" s="81">
        <v>1</v>
      </c>
      <c r="M142" s="81">
        <v>69725</v>
      </c>
      <c r="N142" s="81" t="s">
        <v>33</v>
      </c>
      <c r="O142" s="81" t="s">
        <v>161</v>
      </c>
      <c r="P142" s="91">
        <v>46</v>
      </c>
      <c r="Q142" s="81"/>
      <c r="R142" s="91">
        <v>46</v>
      </c>
      <c r="S142" s="89">
        <v>46023</v>
      </c>
      <c r="T142" s="91">
        <v>6.8999999999999995</v>
      </c>
      <c r="U142" s="90">
        <v>4</v>
      </c>
      <c r="V142" s="91">
        <v>39.1</v>
      </c>
      <c r="W142" s="81" t="s">
        <v>85</v>
      </c>
      <c r="X142" s="81" t="s">
        <v>76</v>
      </c>
      <c r="Y142" s="81" t="s">
        <v>6</v>
      </c>
      <c r="Z142" s="81" t="s">
        <v>57</v>
      </c>
      <c r="AA142" s="81" t="s">
        <v>32</v>
      </c>
      <c r="AB142" s="90" t="s">
        <v>162</v>
      </c>
      <c r="AC142" s="81" t="s">
        <v>65</v>
      </c>
    </row>
    <row r="143" spans="1:29">
      <c r="A143" s="81" t="s">
        <v>93</v>
      </c>
      <c r="B143" s="84">
        <v>46039</v>
      </c>
      <c r="C143" s="83">
        <v>46039</v>
      </c>
      <c r="D143" s="85" t="s">
        <v>168</v>
      </c>
      <c r="E143" s="86">
        <v>0.83333333333333337</v>
      </c>
      <c r="F143" s="86">
        <v>0.99930555555555556</v>
      </c>
      <c r="G143" s="86">
        <v>3.4722222222222218E-4</v>
      </c>
      <c r="H143" s="81" t="s">
        <v>180</v>
      </c>
      <c r="I143" s="87" t="s">
        <v>178</v>
      </c>
      <c r="J143" s="81" t="s">
        <v>78</v>
      </c>
      <c r="K143" s="81"/>
      <c r="L143" s="81">
        <v>1</v>
      </c>
      <c r="M143" s="81">
        <v>69725</v>
      </c>
      <c r="N143" s="81" t="s">
        <v>33</v>
      </c>
      <c r="O143" s="81" t="s">
        <v>161</v>
      </c>
      <c r="P143" s="91">
        <v>46</v>
      </c>
      <c r="Q143" s="81"/>
      <c r="R143" s="91">
        <v>46</v>
      </c>
      <c r="S143" s="89">
        <v>46023</v>
      </c>
      <c r="T143" s="91">
        <v>6.8999999999999995</v>
      </c>
      <c r="U143" s="90">
        <v>4</v>
      </c>
      <c r="V143" s="91">
        <v>39.1</v>
      </c>
      <c r="W143" s="81" t="s">
        <v>85</v>
      </c>
      <c r="X143" s="81" t="s">
        <v>76</v>
      </c>
      <c r="Y143" s="81" t="s">
        <v>6</v>
      </c>
      <c r="Z143" s="81" t="s">
        <v>57</v>
      </c>
      <c r="AA143" s="81" t="s">
        <v>32</v>
      </c>
      <c r="AB143" s="90" t="s">
        <v>162</v>
      </c>
      <c r="AC143" s="81" t="s">
        <v>65</v>
      </c>
    </row>
    <row r="144" spans="1:29">
      <c r="A144" s="81" t="s">
        <v>93</v>
      </c>
      <c r="B144" s="84">
        <v>46040</v>
      </c>
      <c r="C144" s="83">
        <v>46040</v>
      </c>
      <c r="D144" s="85" t="s">
        <v>169</v>
      </c>
      <c r="E144" s="86">
        <v>0.83333333333333337</v>
      </c>
      <c r="F144" s="86">
        <v>0.99930555555555556</v>
      </c>
      <c r="G144" s="86">
        <v>3.4722222222222218E-4</v>
      </c>
      <c r="H144" s="81" t="s">
        <v>180</v>
      </c>
      <c r="I144" s="87" t="s">
        <v>130</v>
      </c>
      <c r="J144" s="81" t="s">
        <v>78</v>
      </c>
      <c r="K144" s="81"/>
      <c r="L144" s="81">
        <v>1</v>
      </c>
      <c r="M144" s="81">
        <v>69725</v>
      </c>
      <c r="N144" s="81" t="s">
        <v>33</v>
      </c>
      <c r="O144" s="81" t="s">
        <v>161</v>
      </c>
      <c r="P144" s="91">
        <v>46</v>
      </c>
      <c r="Q144" s="81"/>
      <c r="R144" s="91">
        <v>46</v>
      </c>
      <c r="S144" s="89">
        <v>46023</v>
      </c>
      <c r="T144" s="91">
        <v>6.8999999999999995</v>
      </c>
      <c r="U144" s="90">
        <v>4</v>
      </c>
      <c r="V144" s="91">
        <v>39.1</v>
      </c>
      <c r="W144" s="81" t="s">
        <v>85</v>
      </c>
      <c r="X144" s="81" t="s">
        <v>76</v>
      </c>
      <c r="Y144" s="81" t="s">
        <v>6</v>
      </c>
      <c r="Z144" s="81" t="s">
        <v>57</v>
      </c>
      <c r="AA144" s="81" t="s">
        <v>32</v>
      </c>
      <c r="AB144" s="90" t="s">
        <v>162</v>
      </c>
      <c r="AC144" s="81" t="s">
        <v>65</v>
      </c>
    </row>
    <row r="145" spans="1:29">
      <c r="A145" s="81" t="s">
        <v>93</v>
      </c>
      <c r="B145" s="84">
        <v>46039</v>
      </c>
      <c r="C145" s="83">
        <v>46039</v>
      </c>
      <c r="D145" s="85" t="s">
        <v>168</v>
      </c>
      <c r="E145" s="86">
        <v>0.83333333333333337</v>
      </c>
      <c r="F145" s="86">
        <v>0.99930555555555556</v>
      </c>
      <c r="G145" s="86">
        <v>3.4722222222222218E-4</v>
      </c>
      <c r="H145" s="81" t="s">
        <v>180</v>
      </c>
      <c r="I145" s="87" t="s">
        <v>173</v>
      </c>
      <c r="J145" s="81" t="s">
        <v>78</v>
      </c>
      <c r="K145" s="81"/>
      <c r="L145" s="81">
        <v>1</v>
      </c>
      <c r="M145" s="81">
        <v>69725</v>
      </c>
      <c r="N145" s="81" t="s">
        <v>33</v>
      </c>
      <c r="O145" s="81" t="s">
        <v>161</v>
      </c>
      <c r="P145" s="91">
        <v>46</v>
      </c>
      <c r="Q145" s="81"/>
      <c r="R145" s="91">
        <v>46</v>
      </c>
      <c r="S145" s="89">
        <v>46023</v>
      </c>
      <c r="T145" s="91">
        <v>6.8999999999999995</v>
      </c>
      <c r="U145" s="90">
        <v>4</v>
      </c>
      <c r="V145" s="91">
        <v>39.1</v>
      </c>
      <c r="W145" s="81" t="s">
        <v>85</v>
      </c>
      <c r="X145" s="81" t="s">
        <v>76</v>
      </c>
      <c r="Y145" s="81" t="s">
        <v>6</v>
      </c>
      <c r="Z145" s="81" t="s">
        <v>57</v>
      </c>
      <c r="AA145" s="81" t="s">
        <v>32</v>
      </c>
      <c r="AB145" s="90" t="s">
        <v>162</v>
      </c>
      <c r="AC145" s="81" t="s">
        <v>65</v>
      </c>
    </row>
    <row r="146" spans="1:29">
      <c r="A146" s="81" t="s">
        <v>93</v>
      </c>
      <c r="B146" s="84">
        <v>46040</v>
      </c>
      <c r="C146" s="83">
        <v>46040</v>
      </c>
      <c r="D146" s="85" t="s">
        <v>169</v>
      </c>
      <c r="E146" s="86">
        <v>0.83333333333333337</v>
      </c>
      <c r="F146" s="86">
        <v>0.99930555555555556</v>
      </c>
      <c r="G146" s="86">
        <v>3.4722222222222218E-4</v>
      </c>
      <c r="H146" s="81" t="s">
        <v>180</v>
      </c>
      <c r="I146" s="87" t="s">
        <v>131</v>
      </c>
      <c r="J146" s="81" t="s">
        <v>78</v>
      </c>
      <c r="K146" s="81"/>
      <c r="L146" s="81">
        <v>1</v>
      </c>
      <c r="M146" s="81">
        <v>69725</v>
      </c>
      <c r="N146" s="81" t="s">
        <v>33</v>
      </c>
      <c r="O146" s="81" t="s">
        <v>161</v>
      </c>
      <c r="P146" s="91">
        <v>46</v>
      </c>
      <c r="Q146" s="81"/>
      <c r="R146" s="91">
        <v>46</v>
      </c>
      <c r="S146" s="89">
        <v>46023</v>
      </c>
      <c r="T146" s="91">
        <v>6.8999999999999995</v>
      </c>
      <c r="U146" s="90">
        <v>4</v>
      </c>
      <c r="V146" s="91">
        <v>39.1</v>
      </c>
      <c r="W146" s="81" t="s">
        <v>85</v>
      </c>
      <c r="X146" s="81" t="s">
        <v>76</v>
      </c>
      <c r="Y146" s="81" t="s">
        <v>6</v>
      </c>
      <c r="Z146" s="81" t="s">
        <v>57</v>
      </c>
      <c r="AA146" s="81" t="s">
        <v>32</v>
      </c>
      <c r="AB146" s="90" t="s">
        <v>162</v>
      </c>
      <c r="AC146" s="81" t="s">
        <v>65</v>
      </c>
    </row>
    <row r="147" spans="1:29">
      <c r="A147" s="81" t="s">
        <v>93</v>
      </c>
      <c r="B147" s="84">
        <v>46047</v>
      </c>
      <c r="C147" s="83">
        <v>46047</v>
      </c>
      <c r="D147" s="85" t="s">
        <v>169</v>
      </c>
      <c r="E147" s="86">
        <v>0.83333333333333337</v>
      </c>
      <c r="F147" s="86">
        <v>0.99930555555555556</v>
      </c>
      <c r="G147" s="86">
        <v>3.4722222222222218E-4</v>
      </c>
      <c r="H147" s="81" t="s">
        <v>180</v>
      </c>
      <c r="I147" s="87" t="s">
        <v>131</v>
      </c>
      <c r="J147" s="81" t="s">
        <v>78</v>
      </c>
      <c r="K147" s="81"/>
      <c r="L147" s="81">
        <v>1</v>
      </c>
      <c r="M147" s="81">
        <v>69725</v>
      </c>
      <c r="N147" s="81" t="s">
        <v>33</v>
      </c>
      <c r="O147" s="81" t="s">
        <v>161</v>
      </c>
      <c r="P147" s="91">
        <v>46</v>
      </c>
      <c r="Q147" s="81"/>
      <c r="R147" s="91">
        <v>46</v>
      </c>
      <c r="S147" s="89">
        <v>46023</v>
      </c>
      <c r="T147" s="91">
        <v>6.8999999999999995</v>
      </c>
      <c r="U147" s="90">
        <v>4</v>
      </c>
      <c r="V147" s="91">
        <v>39.1</v>
      </c>
      <c r="W147" s="81" t="s">
        <v>85</v>
      </c>
      <c r="X147" s="81" t="s">
        <v>76</v>
      </c>
      <c r="Y147" s="81" t="s">
        <v>6</v>
      </c>
      <c r="Z147" s="81" t="s">
        <v>57</v>
      </c>
      <c r="AA147" s="81" t="s">
        <v>32</v>
      </c>
      <c r="AB147" s="90" t="s">
        <v>162</v>
      </c>
      <c r="AC147" s="81" t="s">
        <v>65</v>
      </c>
    </row>
    <row r="148" spans="1:29">
      <c r="A148" s="81" t="s">
        <v>93</v>
      </c>
      <c r="B148" s="84">
        <v>46039</v>
      </c>
      <c r="C148" s="83">
        <v>46039</v>
      </c>
      <c r="D148" s="85" t="s">
        <v>168</v>
      </c>
      <c r="E148" s="86">
        <v>0.83333333333333337</v>
      </c>
      <c r="F148" s="86">
        <v>0.99930555555555556</v>
      </c>
      <c r="G148" s="86">
        <v>3.4722222222222218E-4</v>
      </c>
      <c r="H148" s="81" t="s">
        <v>180</v>
      </c>
      <c r="I148" s="87" t="s">
        <v>172</v>
      </c>
      <c r="J148" s="81" t="s">
        <v>78</v>
      </c>
      <c r="K148" s="81"/>
      <c r="L148" s="81">
        <v>1</v>
      </c>
      <c r="M148" s="81">
        <v>69725</v>
      </c>
      <c r="N148" s="81" t="s">
        <v>33</v>
      </c>
      <c r="O148" s="81" t="s">
        <v>161</v>
      </c>
      <c r="P148" s="91">
        <v>46</v>
      </c>
      <c r="Q148" s="81"/>
      <c r="R148" s="91">
        <v>46</v>
      </c>
      <c r="S148" s="89">
        <v>46023</v>
      </c>
      <c r="T148" s="91">
        <v>6.8999999999999995</v>
      </c>
      <c r="U148" s="90">
        <v>4</v>
      </c>
      <c r="V148" s="91">
        <v>39.1</v>
      </c>
      <c r="W148" s="81" t="s">
        <v>85</v>
      </c>
      <c r="X148" s="81" t="s">
        <v>76</v>
      </c>
      <c r="Y148" s="81" t="s">
        <v>6</v>
      </c>
      <c r="Z148" s="81" t="s">
        <v>57</v>
      </c>
      <c r="AA148" s="81" t="s">
        <v>32</v>
      </c>
      <c r="AB148" s="90" t="s">
        <v>162</v>
      </c>
      <c r="AC148" s="81" t="s">
        <v>65</v>
      </c>
    </row>
    <row r="149" spans="1:29">
      <c r="A149" s="81" t="s">
        <v>93</v>
      </c>
      <c r="B149" s="84">
        <v>46101</v>
      </c>
      <c r="C149" s="83">
        <v>46101</v>
      </c>
      <c r="D149" s="85" t="s">
        <v>166</v>
      </c>
      <c r="E149" s="86">
        <v>0.25</v>
      </c>
      <c r="F149" s="86">
        <v>0.33333333333333331</v>
      </c>
      <c r="G149" s="86">
        <v>3.4722222222222218E-4</v>
      </c>
      <c r="H149" s="81" t="s">
        <v>180</v>
      </c>
      <c r="I149" s="87" t="s">
        <v>77</v>
      </c>
      <c r="J149" s="81" t="s">
        <v>78</v>
      </c>
      <c r="K149" s="81"/>
      <c r="L149" s="81">
        <v>1</v>
      </c>
      <c r="M149" s="81">
        <v>69726</v>
      </c>
      <c r="N149" s="81" t="s">
        <v>33</v>
      </c>
      <c r="O149" s="81" t="s">
        <v>161</v>
      </c>
      <c r="P149" s="91">
        <v>36</v>
      </c>
      <c r="Q149" s="81"/>
      <c r="R149" s="91">
        <v>36</v>
      </c>
      <c r="S149" s="89">
        <v>46082</v>
      </c>
      <c r="T149" s="91">
        <v>5.3999999999999995</v>
      </c>
      <c r="U149" s="90">
        <v>4</v>
      </c>
      <c r="V149" s="91">
        <v>30.6</v>
      </c>
      <c r="W149" s="81" t="s">
        <v>85</v>
      </c>
      <c r="X149" s="81" t="s">
        <v>76</v>
      </c>
      <c r="Y149" s="81" t="s">
        <v>6</v>
      </c>
      <c r="Z149" s="81" t="s">
        <v>57</v>
      </c>
      <c r="AA149" s="81" t="s">
        <v>32</v>
      </c>
      <c r="AB149" s="90" t="s">
        <v>162</v>
      </c>
      <c r="AC149" s="81" t="s">
        <v>65</v>
      </c>
    </row>
    <row r="150" spans="1:29">
      <c r="A150" s="81" t="s">
        <v>93</v>
      </c>
      <c r="B150" s="84">
        <v>46098</v>
      </c>
      <c r="C150" s="83">
        <v>46098</v>
      </c>
      <c r="D150" s="85" t="s">
        <v>163</v>
      </c>
      <c r="E150" s="86">
        <v>0.25</v>
      </c>
      <c r="F150" s="86">
        <v>0.33333333333333331</v>
      </c>
      <c r="G150" s="86">
        <v>3.4722222222222218E-4</v>
      </c>
      <c r="H150" s="81" t="s">
        <v>180</v>
      </c>
      <c r="I150" s="87" t="s">
        <v>96</v>
      </c>
      <c r="J150" s="81" t="s">
        <v>78</v>
      </c>
      <c r="K150" s="81"/>
      <c r="L150" s="81">
        <v>1</v>
      </c>
      <c r="M150" s="81">
        <v>69726</v>
      </c>
      <c r="N150" s="81" t="s">
        <v>33</v>
      </c>
      <c r="O150" s="81" t="s">
        <v>161</v>
      </c>
      <c r="P150" s="91">
        <v>36</v>
      </c>
      <c r="Q150" s="81"/>
      <c r="R150" s="91">
        <v>36</v>
      </c>
      <c r="S150" s="89">
        <v>46082</v>
      </c>
      <c r="T150" s="91">
        <v>5.3999999999999995</v>
      </c>
      <c r="U150" s="90">
        <v>4</v>
      </c>
      <c r="V150" s="91">
        <v>30.6</v>
      </c>
      <c r="W150" s="81" t="s">
        <v>85</v>
      </c>
      <c r="X150" s="81" t="s">
        <v>76</v>
      </c>
      <c r="Y150" s="81" t="s">
        <v>6</v>
      </c>
      <c r="Z150" s="81" t="s">
        <v>57</v>
      </c>
      <c r="AA150" s="81" t="s">
        <v>32</v>
      </c>
      <c r="AB150" s="90" t="s">
        <v>162</v>
      </c>
      <c r="AC150" s="81" t="s">
        <v>65</v>
      </c>
    </row>
    <row r="151" spans="1:29">
      <c r="A151" s="81" t="s">
        <v>93</v>
      </c>
      <c r="B151" s="84">
        <v>46092</v>
      </c>
      <c r="C151" s="83">
        <v>46092</v>
      </c>
      <c r="D151" s="85" t="s">
        <v>164</v>
      </c>
      <c r="E151" s="86">
        <v>0.25</v>
      </c>
      <c r="F151" s="86">
        <v>0.33333333333333331</v>
      </c>
      <c r="G151" s="86">
        <v>3.4722222222222218E-4</v>
      </c>
      <c r="H151" s="81" t="s">
        <v>180</v>
      </c>
      <c r="I151" s="87" t="s">
        <v>97</v>
      </c>
      <c r="J151" s="81" t="s">
        <v>78</v>
      </c>
      <c r="K151" s="81"/>
      <c r="L151" s="81">
        <v>1</v>
      </c>
      <c r="M151" s="81">
        <v>69726</v>
      </c>
      <c r="N151" s="81" t="s">
        <v>33</v>
      </c>
      <c r="O151" s="81" t="s">
        <v>161</v>
      </c>
      <c r="P151" s="91">
        <v>36</v>
      </c>
      <c r="Q151" s="81"/>
      <c r="R151" s="91">
        <v>36</v>
      </c>
      <c r="S151" s="89">
        <v>46082</v>
      </c>
      <c r="T151" s="91">
        <v>5.3999999999999995</v>
      </c>
      <c r="U151" s="90">
        <v>4</v>
      </c>
      <c r="V151" s="91">
        <v>30.6</v>
      </c>
      <c r="W151" s="81" t="s">
        <v>85</v>
      </c>
      <c r="X151" s="81" t="s">
        <v>76</v>
      </c>
      <c r="Y151" s="81" t="s">
        <v>6</v>
      </c>
      <c r="Z151" s="81" t="s">
        <v>57</v>
      </c>
      <c r="AA151" s="81" t="s">
        <v>32</v>
      </c>
      <c r="AB151" s="90" t="s">
        <v>162</v>
      </c>
      <c r="AC151" s="81" t="s">
        <v>65</v>
      </c>
    </row>
    <row r="152" spans="1:29">
      <c r="A152" s="81" t="s">
        <v>93</v>
      </c>
      <c r="B152" s="84">
        <v>46090</v>
      </c>
      <c r="C152" s="83">
        <v>46090</v>
      </c>
      <c r="D152" s="85" t="s">
        <v>160</v>
      </c>
      <c r="E152" s="86">
        <v>0.25</v>
      </c>
      <c r="F152" s="86">
        <v>0.33333333333333331</v>
      </c>
      <c r="G152" s="86">
        <v>3.4722222222222218E-4</v>
      </c>
      <c r="H152" s="81" t="s">
        <v>180</v>
      </c>
      <c r="I152" s="87" t="s">
        <v>98</v>
      </c>
      <c r="J152" s="81" t="s">
        <v>78</v>
      </c>
      <c r="K152" s="81"/>
      <c r="L152" s="81">
        <v>1</v>
      </c>
      <c r="M152" s="81">
        <v>69726</v>
      </c>
      <c r="N152" s="81" t="s">
        <v>33</v>
      </c>
      <c r="O152" s="81" t="s">
        <v>161</v>
      </c>
      <c r="P152" s="91">
        <v>36</v>
      </c>
      <c r="Q152" s="81"/>
      <c r="R152" s="91">
        <v>36</v>
      </c>
      <c r="S152" s="89">
        <v>46082</v>
      </c>
      <c r="T152" s="91">
        <v>5.3999999999999995</v>
      </c>
      <c r="U152" s="90">
        <v>4</v>
      </c>
      <c r="V152" s="91">
        <v>30.6</v>
      </c>
      <c r="W152" s="81" t="s">
        <v>85</v>
      </c>
      <c r="X152" s="81" t="s">
        <v>76</v>
      </c>
      <c r="Y152" s="81" t="s">
        <v>6</v>
      </c>
      <c r="Z152" s="81" t="s">
        <v>57</v>
      </c>
      <c r="AA152" s="81" t="s">
        <v>32</v>
      </c>
      <c r="AB152" s="90" t="s">
        <v>162</v>
      </c>
      <c r="AC152" s="81" t="s">
        <v>65</v>
      </c>
    </row>
    <row r="153" spans="1:29">
      <c r="A153" s="81" t="s">
        <v>93</v>
      </c>
      <c r="B153" s="84">
        <v>46106</v>
      </c>
      <c r="C153" s="83">
        <v>46106</v>
      </c>
      <c r="D153" s="85" t="s">
        <v>164</v>
      </c>
      <c r="E153" s="86">
        <v>0.25</v>
      </c>
      <c r="F153" s="86">
        <v>0.33333333333333331</v>
      </c>
      <c r="G153" s="86">
        <v>3.4722222222222218E-4</v>
      </c>
      <c r="H153" s="81" t="s">
        <v>180</v>
      </c>
      <c r="I153" s="87" t="s">
        <v>98</v>
      </c>
      <c r="J153" s="81" t="s">
        <v>78</v>
      </c>
      <c r="K153" s="81"/>
      <c r="L153" s="81">
        <v>1</v>
      </c>
      <c r="M153" s="81">
        <v>69726</v>
      </c>
      <c r="N153" s="81" t="s">
        <v>33</v>
      </c>
      <c r="O153" s="81" t="s">
        <v>161</v>
      </c>
      <c r="P153" s="91">
        <v>36</v>
      </c>
      <c r="Q153" s="81"/>
      <c r="R153" s="91">
        <v>36</v>
      </c>
      <c r="S153" s="89">
        <v>46082</v>
      </c>
      <c r="T153" s="91">
        <v>5.3999999999999995</v>
      </c>
      <c r="U153" s="90">
        <v>4</v>
      </c>
      <c r="V153" s="91">
        <v>30.6</v>
      </c>
      <c r="W153" s="81" t="s">
        <v>85</v>
      </c>
      <c r="X153" s="81" t="s">
        <v>76</v>
      </c>
      <c r="Y153" s="81" t="s">
        <v>6</v>
      </c>
      <c r="Z153" s="81" t="s">
        <v>57</v>
      </c>
      <c r="AA153" s="81" t="s">
        <v>32</v>
      </c>
      <c r="AB153" s="90" t="s">
        <v>162</v>
      </c>
      <c r="AC153" s="81" t="s">
        <v>65</v>
      </c>
    </row>
    <row r="154" spans="1:29">
      <c r="A154" s="81" t="s">
        <v>93</v>
      </c>
      <c r="B154" s="84">
        <v>46093</v>
      </c>
      <c r="C154" s="83">
        <v>46093</v>
      </c>
      <c r="D154" s="85" t="s">
        <v>165</v>
      </c>
      <c r="E154" s="86">
        <v>0.25</v>
      </c>
      <c r="F154" s="86">
        <v>0.33333333333333331</v>
      </c>
      <c r="G154" s="86">
        <v>3.4722222222222218E-4</v>
      </c>
      <c r="H154" s="81" t="s">
        <v>180</v>
      </c>
      <c r="I154" s="87" t="s">
        <v>101</v>
      </c>
      <c r="J154" s="81" t="s">
        <v>78</v>
      </c>
      <c r="K154" s="81"/>
      <c r="L154" s="81">
        <v>1</v>
      </c>
      <c r="M154" s="81">
        <v>69726</v>
      </c>
      <c r="N154" s="81" t="s">
        <v>33</v>
      </c>
      <c r="O154" s="81" t="s">
        <v>161</v>
      </c>
      <c r="P154" s="91">
        <v>36</v>
      </c>
      <c r="Q154" s="81"/>
      <c r="R154" s="91">
        <v>36</v>
      </c>
      <c r="S154" s="89">
        <v>46082</v>
      </c>
      <c r="T154" s="91">
        <v>5.3999999999999995</v>
      </c>
      <c r="U154" s="90">
        <v>4</v>
      </c>
      <c r="V154" s="91">
        <v>30.6</v>
      </c>
      <c r="W154" s="81" t="s">
        <v>85</v>
      </c>
      <c r="X154" s="81" t="s">
        <v>76</v>
      </c>
      <c r="Y154" s="81" t="s">
        <v>6</v>
      </c>
      <c r="Z154" s="81" t="s">
        <v>57</v>
      </c>
      <c r="AA154" s="81" t="s">
        <v>32</v>
      </c>
      <c r="AB154" s="90" t="s">
        <v>162</v>
      </c>
      <c r="AC154" s="81" t="s">
        <v>65</v>
      </c>
    </row>
    <row r="155" spans="1:29">
      <c r="A155" s="81" t="s">
        <v>93</v>
      </c>
      <c r="B155" s="84">
        <v>46100</v>
      </c>
      <c r="C155" s="83">
        <v>46100</v>
      </c>
      <c r="D155" s="85" t="s">
        <v>165</v>
      </c>
      <c r="E155" s="86">
        <v>0.25</v>
      </c>
      <c r="F155" s="86">
        <v>0.33333333333333331</v>
      </c>
      <c r="G155" s="86">
        <v>3.4722222222222218E-4</v>
      </c>
      <c r="H155" s="81" t="s">
        <v>180</v>
      </c>
      <c r="I155" s="87" t="s">
        <v>101</v>
      </c>
      <c r="J155" s="81" t="s">
        <v>78</v>
      </c>
      <c r="K155" s="81"/>
      <c r="L155" s="81">
        <v>1</v>
      </c>
      <c r="M155" s="81">
        <v>69726</v>
      </c>
      <c r="N155" s="81" t="s">
        <v>33</v>
      </c>
      <c r="O155" s="81" t="s">
        <v>161</v>
      </c>
      <c r="P155" s="91">
        <v>36</v>
      </c>
      <c r="Q155" s="81"/>
      <c r="R155" s="91">
        <v>36</v>
      </c>
      <c r="S155" s="89">
        <v>46082</v>
      </c>
      <c r="T155" s="91">
        <v>5.3999999999999995</v>
      </c>
      <c r="U155" s="90">
        <v>4</v>
      </c>
      <c r="V155" s="91">
        <v>30.6</v>
      </c>
      <c r="W155" s="81" t="s">
        <v>85</v>
      </c>
      <c r="X155" s="81" t="s">
        <v>76</v>
      </c>
      <c r="Y155" s="81" t="s">
        <v>6</v>
      </c>
      <c r="Z155" s="81" t="s">
        <v>57</v>
      </c>
      <c r="AA155" s="81" t="s">
        <v>32</v>
      </c>
      <c r="AB155" s="90" t="s">
        <v>162</v>
      </c>
      <c r="AC155" s="81" t="s">
        <v>65</v>
      </c>
    </row>
    <row r="156" spans="1:29">
      <c r="A156" s="81" t="s">
        <v>93</v>
      </c>
      <c r="B156" s="84">
        <v>46097</v>
      </c>
      <c r="C156" s="83">
        <v>46097</v>
      </c>
      <c r="D156" s="85" t="s">
        <v>160</v>
      </c>
      <c r="E156" s="86">
        <v>0.25</v>
      </c>
      <c r="F156" s="86">
        <v>0.33333333333333331</v>
      </c>
      <c r="G156" s="86">
        <v>3.4722222222222218E-4</v>
      </c>
      <c r="H156" s="81" t="s">
        <v>180</v>
      </c>
      <c r="I156" s="87" t="s">
        <v>102</v>
      </c>
      <c r="J156" s="81" t="s">
        <v>78</v>
      </c>
      <c r="K156" s="81"/>
      <c r="L156" s="81">
        <v>1</v>
      </c>
      <c r="M156" s="81">
        <v>69726</v>
      </c>
      <c r="N156" s="81" t="s">
        <v>33</v>
      </c>
      <c r="O156" s="81" t="s">
        <v>161</v>
      </c>
      <c r="P156" s="91">
        <v>36</v>
      </c>
      <c r="Q156" s="81"/>
      <c r="R156" s="91">
        <v>36</v>
      </c>
      <c r="S156" s="89">
        <v>46082</v>
      </c>
      <c r="T156" s="91">
        <v>5.3999999999999995</v>
      </c>
      <c r="U156" s="90">
        <v>4</v>
      </c>
      <c r="V156" s="91">
        <v>30.6</v>
      </c>
      <c r="W156" s="81" t="s">
        <v>85</v>
      </c>
      <c r="X156" s="81" t="s">
        <v>76</v>
      </c>
      <c r="Y156" s="81" t="s">
        <v>6</v>
      </c>
      <c r="Z156" s="81" t="s">
        <v>57</v>
      </c>
      <c r="AA156" s="81" t="s">
        <v>32</v>
      </c>
      <c r="AB156" s="90" t="s">
        <v>162</v>
      </c>
      <c r="AC156" s="81" t="s">
        <v>65</v>
      </c>
    </row>
    <row r="157" spans="1:29">
      <c r="A157" s="81" t="s">
        <v>93</v>
      </c>
      <c r="B157" s="84">
        <v>46105</v>
      </c>
      <c r="C157" s="83">
        <v>46105</v>
      </c>
      <c r="D157" s="85" t="s">
        <v>163</v>
      </c>
      <c r="E157" s="86">
        <v>0.25</v>
      </c>
      <c r="F157" s="86">
        <v>0.33333333333333331</v>
      </c>
      <c r="G157" s="86">
        <v>3.4722222222222218E-4</v>
      </c>
      <c r="H157" s="81" t="s">
        <v>180</v>
      </c>
      <c r="I157" s="87" t="s">
        <v>102</v>
      </c>
      <c r="J157" s="81" t="s">
        <v>78</v>
      </c>
      <c r="K157" s="81"/>
      <c r="L157" s="81">
        <v>1</v>
      </c>
      <c r="M157" s="81">
        <v>69726</v>
      </c>
      <c r="N157" s="81" t="s">
        <v>33</v>
      </c>
      <c r="O157" s="81" t="s">
        <v>161</v>
      </c>
      <c r="P157" s="91">
        <v>36</v>
      </c>
      <c r="Q157" s="81"/>
      <c r="R157" s="91">
        <v>36</v>
      </c>
      <c r="S157" s="89">
        <v>46082</v>
      </c>
      <c r="T157" s="91">
        <v>5.3999999999999995</v>
      </c>
      <c r="U157" s="90">
        <v>4</v>
      </c>
      <c r="V157" s="91">
        <v>30.6</v>
      </c>
      <c r="W157" s="81" t="s">
        <v>85</v>
      </c>
      <c r="X157" s="81" t="s">
        <v>76</v>
      </c>
      <c r="Y157" s="81" t="s">
        <v>6</v>
      </c>
      <c r="Z157" s="81" t="s">
        <v>57</v>
      </c>
      <c r="AA157" s="81" t="s">
        <v>32</v>
      </c>
      <c r="AB157" s="90" t="s">
        <v>162</v>
      </c>
      <c r="AC157" s="81" t="s">
        <v>65</v>
      </c>
    </row>
    <row r="158" spans="1:29">
      <c r="A158" s="81" t="s">
        <v>93</v>
      </c>
      <c r="B158" s="84">
        <v>46099</v>
      </c>
      <c r="C158" s="83">
        <v>46099</v>
      </c>
      <c r="D158" s="85" t="s">
        <v>164</v>
      </c>
      <c r="E158" s="86">
        <v>0.25</v>
      </c>
      <c r="F158" s="86">
        <v>0.33333333333333331</v>
      </c>
      <c r="G158" s="86">
        <v>3.4722222222222218E-4</v>
      </c>
      <c r="H158" s="81" t="s">
        <v>180</v>
      </c>
      <c r="I158" s="87" t="s">
        <v>103</v>
      </c>
      <c r="J158" s="81" t="s">
        <v>78</v>
      </c>
      <c r="K158" s="81"/>
      <c r="L158" s="81">
        <v>1</v>
      </c>
      <c r="M158" s="81">
        <v>69726</v>
      </c>
      <c r="N158" s="81" t="s">
        <v>33</v>
      </c>
      <c r="O158" s="81" t="s">
        <v>161</v>
      </c>
      <c r="P158" s="91">
        <v>36</v>
      </c>
      <c r="Q158" s="81"/>
      <c r="R158" s="91">
        <v>36</v>
      </c>
      <c r="S158" s="89">
        <v>46082</v>
      </c>
      <c r="T158" s="91">
        <v>5.3999999999999995</v>
      </c>
      <c r="U158" s="90">
        <v>4</v>
      </c>
      <c r="V158" s="91">
        <v>30.6</v>
      </c>
      <c r="W158" s="81" t="s">
        <v>85</v>
      </c>
      <c r="X158" s="81" t="s">
        <v>76</v>
      </c>
      <c r="Y158" s="81" t="s">
        <v>6</v>
      </c>
      <c r="Z158" s="81" t="s">
        <v>57</v>
      </c>
      <c r="AA158" s="81" t="s">
        <v>32</v>
      </c>
      <c r="AB158" s="90" t="s">
        <v>162</v>
      </c>
      <c r="AC158" s="81" t="s">
        <v>65</v>
      </c>
    </row>
    <row r="159" spans="1:29">
      <c r="A159" s="81" t="s">
        <v>93</v>
      </c>
      <c r="B159" s="84">
        <v>46104</v>
      </c>
      <c r="C159" s="83">
        <v>46104</v>
      </c>
      <c r="D159" s="85" t="s">
        <v>160</v>
      </c>
      <c r="E159" s="86">
        <v>0.25</v>
      </c>
      <c r="F159" s="86">
        <v>0.33333333333333331</v>
      </c>
      <c r="G159" s="86">
        <v>3.4722222222222218E-4</v>
      </c>
      <c r="H159" s="81" t="s">
        <v>180</v>
      </c>
      <c r="I159" s="87" t="s">
        <v>103</v>
      </c>
      <c r="J159" s="81" t="s">
        <v>78</v>
      </c>
      <c r="K159" s="81"/>
      <c r="L159" s="81">
        <v>1</v>
      </c>
      <c r="M159" s="81">
        <v>69726</v>
      </c>
      <c r="N159" s="81" t="s">
        <v>33</v>
      </c>
      <c r="O159" s="81" t="s">
        <v>161</v>
      </c>
      <c r="P159" s="91">
        <v>36</v>
      </c>
      <c r="Q159" s="81"/>
      <c r="R159" s="91">
        <v>36</v>
      </c>
      <c r="S159" s="89">
        <v>46082</v>
      </c>
      <c r="T159" s="91">
        <v>5.3999999999999995</v>
      </c>
      <c r="U159" s="90">
        <v>4</v>
      </c>
      <c r="V159" s="91">
        <v>30.6</v>
      </c>
      <c r="W159" s="81" t="s">
        <v>85</v>
      </c>
      <c r="X159" s="81" t="s">
        <v>76</v>
      </c>
      <c r="Y159" s="81" t="s">
        <v>6</v>
      </c>
      <c r="Z159" s="81" t="s">
        <v>57</v>
      </c>
      <c r="AA159" s="81" t="s">
        <v>32</v>
      </c>
      <c r="AB159" s="90" t="s">
        <v>162</v>
      </c>
      <c r="AC159" s="81" t="s">
        <v>65</v>
      </c>
    </row>
    <row r="160" spans="1:29">
      <c r="A160" s="81" t="s">
        <v>93</v>
      </c>
      <c r="B160" s="84">
        <v>46108</v>
      </c>
      <c r="C160" s="83">
        <v>46108</v>
      </c>
      <c r="D160" s="85" t="s">
        <v>166</v>
      </c>
      <c r="E160" s="86">
        <v>0.25</v>
      </c>
      <c r="F160" s="86">
        <v>0.33333333333333331</v>
      </c>
      <c r="G160" s="86">
        <v>3.4722222222222218E-4</v>
      </c>
      <c r="H160" s="81" t="s">
        <v>180</v>
      </c>
      <c r="I160" s="87" t="s">
        <v>103</v>
      </c>
      <c r="J160" s="81" t="s">
        <v>78</v>
      </c>
      <c r="K160" s="81"/>
      <c r="L160" s="81">
        <v>1</v>
      </c>
      <c r="M160" s="81">
        <v>69726</v>
      </c>
      <c r="N160" s="81" t="s">
        <v>33</v>
      </c>
      <c r="O160" s="81" t="s">
        <v>161</v>
      </c>
      <c r="P160" s="91">
        <v>36</v>
      </c>
      <c r="Q160" s="81"/>
      <c r="R160" s="91">
        <v>36</v>
      </c>
      <c r="S160" s="89">
        <v>46082</v>
      </c>
      <c r="T160" s="91">
        <v>5.3999999999999995</v>
      </c>
      <c r="U160" s="90">
        <v>4</v>
      </c>
      <c r="V160" s="91">
        <v>30.6</v>
      </c>
      <c r="W160" s="81" t="s">
        <v>85</v>
      </c>
      <c r="X160" s="81" t="s">
        <v>76</v>
      </c>
      <c r="Y160" s="81" t="s">
        <v>6</v>
      </c>
      <c r="Z160" s="81" t="s">
        <v>57</v>
      </c>
      <c r="AA160" s="81" t="s">
        <v>32</v>
      </c>
      <c r="AB160" s="90" t="s">
        <v>162</v>
      </c>
      <c r="AC160" s="81" t="s">
        <v>65</v>
      </c>
    </row>
    <row r="161" spans="1:29">
      <c r="A161" s="81" t="s">
        <v>93</v>
      </c>
      <c r="B161" s="84">
        <v>46091</v>
      </c>
      <c r="C161" s="83">
        <v>46091</v>
      </c>
      <c r="D161" s="85" t="s">
        <v>163</v>
      </c>
      <c r="E161" s="86">
        <v>0.25</v>
      </c>
      <c r="F161" s="86">
        <v>0.33333333333333331</v>
      </c>
      <c r="G161" s="86">
        <v>3.4722222222222218E-4</v>
      </c>
      <c r="H161" s="81" t="s">
        <v>180</v>
      </c>
      <c r="I161" s="87" t="s">
        <v>104</v>
      </c>
      <c r="J161" s="81" t="s">
        <v>78</v>
      </c>
      <c r="K161" s="81"/>
      <c r="L161" s="81">
        <v>1</v>
      </c>
      <c r="M161" s="81">
        <v>69726</v>
      </c>
      <c r="N161" s="81" t="s">
        <v>33</v>
      </c>
      <c r="O161" s="81" t="s">
        <v>161</v>
      </c>
      <c r="P161" s="91">
        <v>36</v>
      </c>
      <c r="Q161" s="81"/>
      <c r="R161" s="91">
        <v>36</v>
      </c>
      <c r="S161" s="89">
        <v>46082</v>
      </c>
      <c r="T161" s="91">
        <v>5.3999999999999995</v>
      </c>
      <c r="U161" s="90">
        <v>4</v>
      </c>
      <c r="V161" s="91">
        <v>30.6</v>
      </c>
      <c r="W161" s="81" t="s">
        <v>85</v>
      </c>
      <c r="X161" s="81" t="s">
        <v>76</v>
      </c>
      <c r="Y161" s="81" t="s">
        <v>6</v>
      </c>
      <c r="Z161" s="81" t="s">
        <v>57</v>
      </c>
      <c r="AA161" s="81" t="s">
        <v>32</v>
      </c>
      <c r="AB161" s="90" t="s">
        <v>162</v>
      </c>
      <c r="AC161" s="81" t="s">
        <v>65</v>
      </c>
    </row>
    <row r="162" spans="1:29">
      <c r="A162" s="81" t="s">
        <v>93</v>
      </c>
      <c r="B162" s="84">
        <v>46094</v>
      </c>
      <c r="C162" s="83">
        <v>46094</v>
      </c>
      <c r="D162" s="85" t="s">
        <v>166</v>
      </c>
      <c r="E162" s="86">
        <v>0.25</v>
      </c>
      <c r="F162" s="86">
        <v>0.33333333333333331</v>
      </c>
      <c r="G162" s="86">
        <v>3.4722222222222218E-4</v>
      </c>
      <c r="H162" s="81" t="s">
        <v>180</v>
      </c>
      <c r="I162" s="87" t="s">
        <v>104</v>
      </c>
      <c r="J162" s="81" t="s">
        <v>78</v>
      </c>
      <c r="K162" s="81"/>
      <c r="L162" s="81">
        <v>1</v>
      </c>
      <c r="M162" s="81">
        <v>69726</v>
      </c>
      <c r="N162" s="81" t="s">
        <v>33</v>
      </c>
      <c r="O162" s="81" t="s">
        <v>161</v>
      </c>
      <c r="P162" s="91">
        <v>36</v>
      </c>
      <c r="Q162" s="81"/>
      <c r="R162" s="91">
        <v>36</v>
      </c>
      <c r="S162" s="89">
        <v>46082</v>
      </c>
      <c r="T162" s="91">
        <v>5.3999999999999995</v>
      </c>
      <c r="U162" s="90">
        <v>4</v>
      </c>
      <c r="V162" s="91">
        <v>30.6</v>
      </c>
      <c r="W162" s="81" t="s">
        <v>85</v>
      </c>
      <c r="X162" s="81" t="s">
        <v>76</v>
      </c>
      <c r="Y162" s="81" t="s">
        <v>6</v>
      </c>
      <c r="Z162" s="81" t="s">
        <v>57</v>
      </c>
      <c r="AA162" s="81" t="s">
        <v>32</v>
      </c>
      <c r="AB162" s="90" t="s">
        <v>162</v>
      </c>
      <c r="AC162" s="81" t="s">
        <v>65</v>
      </c>
    </row>
    <row r="163" spans="1:29">
      <c r="A163" s="81" t="s">
        <v>93</v>
      </c>
      <c r="B163" s="84">
        <v>46107</v>
      </c>
      <c r="C163" s="83">
        <v>46107</v>
      </c>
      <c r="D163" s="85" t="s">
        <v>165</v>
      </c>
      <c r="E163" s="86">
        <v>0.25</v>
      </c>
      <c r="F163" s="86">
        <v>0.33333333333333331</v>
      </c>
      <c r="G163" s="86">
        <v>3.4722222222222218E-4</v>
      </c>
      <c r="H163" s="81" t="s">
        <v>180</v>
      </c>
      <c r="I163" s="87" t="s">
        <v>104</v>
      </c>
      <c r="J163" s="81" t="s">
        <v>78</v>
      </c>
      <c r="K163" s="81"/>
      <c r="L163" s="81">
        <v>1</v>
      </c>
      <c r="M163" s="81">
        <v>69726</v>
      </c>
      <c r="N163" s="81" t="s">
        <v>33</v>
      </c>
      <c r="O163" s="81" t="s">
        <v>161</v>
      </c>
      <c r="P163" s="91">
        <v>36</v>
      </c>
      <c r="Q163" s="81"/>
      <c r="R163" s="91">
        <v>36</v>
      </c>
      <c r="S163" s="89">
        <v>46082</v>
      </c>
      <c r="T163" s="91">
        <v>5.3999999999999995</v>
      </c>
      <c r="U163" s="90">
        <v>4</v>
      </c>
      <c r="V163" s="91">
        <v>30.6</v>
      </c>
      <c r="W163" s="81" t="s">
        <v>85</v>
      </c>
      <c r="X163" s="81" t="s">
        <v>76</v>
      </c>
      <c r="Y163" s="81" t="s">
        <v>6</v>
      </c>
      <c r="Z163" s="81" t="s">
        <v>57</v>
      </c>
      <c r="AA163" s="81" t="s">
        <v>32</v>
      </c>
      <c r="AB163" s="90" t="s">
        <v>162</v>
      </c>
      <c r="AC163" s="81" t="s">
        <v>65</v>
      </c>
    </row>
    <row r="164" spans="1:29">
      <c r="A164" s="81" t="s">
        <v>93</v>
      </c>
      <c r="B164" s="84">
        <v>46101</v>
      </c>
      <c r="C164" s="83">
        <v>46101</v>
      </c>
      <c r="D164" s="85" t="s">
        <v>166</v>
      </c>
      <c r="E164" s="86">
        <v>0.79166666666666663</v>
      </c>
      <c r="F164" s="86">
        <v>0.99930555555555556</v>
      </c>
      <c r="G164" s="86">
        <v>3.4722222222222218E-4</v>
      </c>
      <c r="H164" s="81" t="s">
        <v>180</v>
      </c>
      <c r="I164" s="87" t="s">
        <v>105</v>
      </c>
      <c r="J164" s="81" t="s">
        <v>78</v>
      </c>
      <c r="K164" s="81"/>
      <c r="L164" s="81">
        <v>1</v>
      </c>
      <c r="M164" s="81">
        <v>69727</v>
      </c>
      <c r="N164" s="81" t="s">
        <v>33</v>
      </c>
      <c r="O164" s="81" t="s">
        <v>161</v>
      </c>
      <c r="P164" s="91">
        <v>57</v>
      </c>
      <c r="Q164" s="81"/>
      <c r="R164" s="91">
        <v>57</v>
      </c>
      <c r="S164" s="89">
        <v>46082</v>
      </c>
      <c r="T164" s="91">
        <v>8.5499999999999989</v>
      </c>
      <c r="U164" s="90">
        <v>4</v>
      </c>
      <c r="V164" s="91">
        <v>48.45</v>
      </c>
      <c r="W164" s="81" t="s">
        <v>85</v>
      </c>
      <c r="X164" s="81" t="s">
        <v>76</v>
      </c>
      <c r="Y164" s="81" t="s">
        <v>6</v>
      </c>
      <c r="Z164" s="81" t="s">
        <v>57</v>
      </c>
      <c r="AA164" s="81" t="s">
        <v>32</v>
      </c>
      <c r="AB164" s="90" t="s">
        <v>162</v>
      </c>
      <c r="AC164" s="81" t="s">
        <v>65</v>
      </c>
    </row>
    <row r="165" spans="1:29">
      <c r="A165" s="81" t="s">
        <v>93</v>
      </c>
      <c r="B165" s="84">
        <v>46098</v>
      </c>
      <c r="C165" s="83">
        <v>46098</v>
      </c>
      <c r="D165" s="85" t="s">
        <v>163</v>
      </c>
      <c r="E165" s="86">
        <v>0.79166666666666663</v>
      </c>
      <c r="F165" s="86">
        <v>0.99930555555555556</v>
      </c>
      <c r="G165" s="86">
        <v>3.4722222222222218E-4</v>
      </c>
      <c r="H165" s="81" t="s">
        <v>180</v>
      </c>
      <c r="I165" s="87" t="s">
        <v>106</v>
      </c>
      <c r="J165" s="81" t="s">
        <v>78</v>
      </c>
      <c r="K165" s="81"/>
      <c r="L165" s="81">
        <v>1</v>
      </c>
      <c r="M165" s="81">
        <v>69727</v>
      </c>
      <c r="N165" s="81" t="s">
        <v>33</v>
      </c>
      <c r="O165" s="81" t="s">
        <v>161</v>
      </c>
      <c r="P165" s="91">
        <v>57</v>
      </c>
      <c r="Q165" s="81"/>
      <c r="R165" s="91">
        <v>57</v>
      </c>
      <c r="S165" s="89">
        <v>46082</v>
      </c>
      <c r="T165" s="91">
        <v>8.5499999999999989</v>
      </c>
      <c r="U165" s="90">
        <v>4</v>
      </c>
      <c r="V165" s="91">
        <v>48.45</v>
      </c>
      <c r="W165" s="81" t="s">
        <v>85</v>
      </c>
      <c r="X165" s="81" t="s">
        <v>76</v>
      </c>
      <c r="Y165" s="81" t="s">
        <v>6</v>
      </c>
      <c r="Z165" s="81" t="s">
        <v>57</v>
      </c>
      <c r="AA165" s="81" t="s">
        <v>32</v>
      </c>
      <c r="AB165" s="90" t="s">
        <v>162</v>
      </c>
      <c r="AC165" s="81" t="s">
        <v>65</v>
      </c>
    </row>
    <row r="166" spans="1:29">
      <c r="A166" s="81" t="s">
        <v>93</v>
      </c>
      <c r="B166" s="84">
        <v>46107</v>
      </c>
      <c r="C166" s="83">
        <v>46107</v>
      </c>
      <c r="D166" s="85" t="s">
        <v>165</v>
      </c>
      <c r="E166" s="86">
        <v>0.79166666666666663</v>
      </c>
      <c r="F166" s="86">
        <v>0.99930555555555556</v>
      </c>
      <c r="G166" s="86">
        <v>3.4722222222222218E-4</v>
      </c>
      <c r="H166" s="81" t="s">
        <v>180</v>
      </c>
      <c r="I166" s="87" t="s">
        <v>107</v>
      </c>
      <c r="J166" s="81" t="s">
        <v>78</v>
      </c>
      <c r="K166" s="81"/>
      <c r="L166" s="81">
        <v>1</v>
      </c>
      <c r="M166" s="81">
        <v>69727</v>
      </c>
      <c r="N166" s="81" t="s">
        <v>33</v>
      </c>
      <c r="O166" s="81" t="s">
        <v>161</v>
      </c>
      <c r="P166" s="91">
        <v>57</v>
      </c>
      <c r="Q166" s="81"/>
      <c r="R166" s="91">
        <v>57</v>
      </c>
      <c r="S166" s="89">
        <v>46082</v>
      </c>
      <c r="T166" s="91">
        <v>8.5499999999999989</v>
      </c>
      <c r="U166" s="90">
        <v>4</v>
      </c>
      <c r="V166" s="91">
        <v>48.45</v>
      </c>
      <c r="W166" s="81" t="s">
        <v>85</v>
      </c>
      <c r="X166" s="81" t="s">
        <v>76</v>
      </c>
      <c r="Y166" s="81" t="s">
        <v>6</v>
      </c>
      <c r="Z166" s="81" t="s">
        <v>57</v>
      </c>
      <c r="AA166" s="81" t="s">
        <v>32</v>
      </c>
      <c r="AB166" s="90" t="s">
        <v>162</v>
      </c>
      <c r="AC166" s="81" t="s">
        <v>65</v>
      </c>
    </row>
    <row r="167" spans="1:29">
      <c r="A167" s="81" t="s">
        <v>93</v>
      </c>
      <c r="B167" s="84">
        <v>46108</v>
      </c>
      <c r="C167" s="83">
        <v>46108</v>
      </c>
      <c r="D167" s="85" t="s">
        <v>166</v>
      </c>
      <c r="E167" s="86">
        <v>0.79166666666666663</v>
      </c>
      <c r="F167" s="86">
        <v>0.99930555555555556</v>
      </c>
      <c r="G167" s="86">
        <v>3.4722222222222218E-4</v>
      </c>
      <c r="H167" s="81" t="s">
        <v>180</v>
      </c>
      <c r="I167" s="87" t="s">
        <v>108</v>
      </c>
      <c r="J167" s="81" t="s">
        <v>78</v>
      </c>
      <c r="K167" s="81"/>
      <c r="L167" s="81">
        <v>1</v>
      </c>
      <c r="M167" s="81">
        <v>69727</v>
      </c>
      <c r="N167" s="81" t="s">
        <v>33</v>
      </c>
      <c r="O167" s="81" t="s">
        <v>161</v>
      </c>
      <c r="P167" s="91">
        <v>57</v>
      </c>
      <c r="Q167" s="81"/>
      <c r="R167" s="91">
        <v>57</v>
      </c>
      <c r="S167" s="89">
        <v>46082</v>
      </c>
      <c r="T167" s="91">
        <v>8.5499999999999989</v>
      </c>
      <c r="U167" s="90">
        <v>4</v>
      </c>
      <c r="V167" s="91">
        <v>48.45</v>
      </c>
      <c r="W167" s="81" t="s">
        <v>85</v>
      </c>
      <c r="X167" s="81" t="s">
        <v>76</v>
      </c>
      <c r="Y167" s="81" t="s">
        <v>6</v>
      </c>
      <c r="Z167" s="81" t="s">
        <v>57</v>
      </c>
      <c r="AA167" s="81" t="s">
        <v>32</v>
      </c>
      <c r="AB167" s="90" t="s">
        <v>162</v>
      </c>
      <c r="AC167" s="81" t="s">
        <v>65</v>
      </c>
    </row>
    <row r="168" spans="1:29">
      <c r="A168" s="81" t="s">
        <v>93</v>
      </c>
      <c r="B168" s="84">
        <v>46100</v>
      </c>
      <c r="C168" s="83">
        <v>46100</v>
      </c>
      <c r="D168" s="85" t="s">
        <v>165</v>
      </c>
      <c r="E168" s="86">
        <v>0.79166666666666663</v>
      </c>
      <c r="F168" s="86">
        <v>0.99930555555555556</v>
      </c>
      <c r="G168" s="86">
        <v>3.4722222222222218E-4</v>
      </c>
      <c r="H168" s="81" t="s">
        <v>180</v>
      </c>
      <c r="I168" s="87" t="s">
        <v>109</v>
      </c>
      <c r="J168" s="81" t="s">
        <v>78</v>
      </c>
      <c r="K168" s="81"/>
      <c r="L168" s="81">
        <v>1</v>
      </c>
      <c r="M168" s="81">
        <v>69727</v>
      </c>
      <c r="N168" s="81" t="s">
        <v>33</v>
      </c>
      <c r="O168" s="81" t="s">
        <v>161</v>
      </c>
      <c r="P168" s="91">
        <v>57</v>
      </c>
      <c r="Q168" s="81"/>
      <c r="R168" s="91">
        <v>57</v>
      </c>
      <c r="S168" s="89">
        <v>46082</v>
      </c>
      <c r="T168" s="91">
        <v>8.5499999999999989</v>
      </c>
      <c r="U168" s="90">
        <v>4</v>
      </c>
      <c r="V168" s="91">
        <v>48.45</v>
      </c>
      <c r="W168" s="81" t="s">
        <v>85</v>
      </c>
      <c r="X168" s="81" t="s">
        <v>76</v>
      </c>
      <c r="Y168" s="81" t="s">
        <v>6</v>
      </c>
      <c r="Z168" s="81" t="s">
        <v>57</v>
      </c>
      <c r="AA168" s="81" t="s">
        <v>32</v>
      </c>
      <c r="AB168" s="90" t="s">
        <v>162</v>
      </c>
      <c r="AC168" s="81" t="s">
        <v>65</v>
      </c>
    </row>
    <row r="169" spans="1:29">
      <c r="A169" s="81" t="s">
        <v>93</v>
      </c>
      <c r="B169" s="84">
        <v>46097</v>
      </c>
      <c r="C169" s="83">
        <v>46097</v>
      </c>
      <c r="D169" s="85" t="s">
        <v>160</v>
      </c>
      <c r="E169" s="86">
        <v>0.79166666666666663</v>
      </c>
      <c r="F169" s="86">
        <v>0.99930555555555556</v>
      </c>
      <c r="G169" s="86">
        <v>3.4722222222222218E-4</v>
      </c>
      <c r="H169" s="81" t="s">
        <v>180</v>
      </c>
      <c r="I169" s="87" t="s">
        <v>112</v>
      </c>
      <c r="J169" s="81" t="s">
        <v>78</v>
      </c>
      <c r="K169" s="81"/>
      <c r="L169" s="81">
        <v>1</v>
      </c>
      <c r="M169" s="81">
        <v>69727</v>
      </c>
      <c r="N169" s="81" t="s">
        <v>33</v>
      </c>
      <c r="O169" s="81" t="s">
        <v>161</v>
      </c>
      <c r="P169" s="91">
        <v>57</v>
      </c>
      <c r="Q169" s="81"/>
      <c r="R169" s="91">
        <v>57</v>
      </c>
      <c r="S169" s="89">
        <v>46082</v>
      </c>
      <c r="T169" s="91">
        <v>8.5499999999999989</v>
      </c>
      <c r="U169" s="90">
        <v>4</v>
      </c>
      <c r="V169" s="91">
        <v>48.45</v>
      </c>
      <c r="W169" s="81" t="s">
        <v>85</v>
      </c>
      <c r="X169" s="81" t="s">
        <v>76</v>
      </c>
      <c r="Y169" s="81" t="s">
        <v>6</v>
      </c>
      <c r="Z169" s="81" t="s">
        <v>57</v>
      </c>
      <c r="AA169" s="81" t="s">
        <v>32</v>
      </c>
      <c r="AB169" s="90" t="s">
        <v>162</v>
      </c>
      <c r="AC169" s="81" t="s">
        <v>65</v>
      </c>
    </row>
    <row r="170" spans="1:29">
      <c r="A170" s="81" t="s">
        <v>93</v>
      </c>
      <c r="B170" s="84">
        <v>46090</v>
      </c>
      <c r="C170" s="83">
        <v>46090</v>
      </c>
      <c r="D170" s="85" t="s">
        <v>160</v>
      </c>
      <c r="E170" s="86">
        <v>0.79166666666666663</v>
      </c>
      <c r="F170" s="86">
        <v>0.99930555555555556</v>
      </c>
      <c r="G170" s="86">
        <v>3.4722222222222218E-4</v>
      </c>
      <c r="H170" s="81" t="s">
        <v>180</v>
      </c>
      <c r="I170" s="87" t="s">
        <v>115</v>
      </c>
      <c r="J170" s="81" t="s">
        <v>78</v>
      </c>
      <c r="K170" s="81"/>
      <c r="L170" s="81">
        <v>1</v>
      </c>
      <c r="M170" s="81">
        <v>69727</v>
      </c>
      <c r="N170" s="81" t="s">
        <v>33</v>
      </c>
      <c r="O170" s="81" t="s">
        <v>161</v>
      </c>
      <c r="P170" s="91">
        <v>57</v>
      </c>
      <c r="Q170" s="81"/>
      <c r="R170" s="91">
        <v>57</v>
      </c>
      <c r="S170" s="89">
        <v>46082</v>
      </c>
      <c r="T170" s="91">
        <v>8.5499999999999989</v>
      </c>
      <c r="U170" s="90">
        <v>4</v>
      </c>
      <c r="V170" s="91">
        <v>48.45</v>
      </c>
      <c r="W170" s="81" t="s">
        <v>85</v>
      </c>
      <c r="X170" s="81" t="s">
        <v>76</v>
      </c>
      <c r="Y170" s="81" t="s">
        <v>6</v>
      </c>
      <c r="Z170" s="81" t="s">
        <v>57</v>
      </c>
      <c r="AA170" s="81" t="s">
        <v>32</v>
      </c>
      <c r="AB170" s="90" t="s">
        <v>162</v>
      </c>
      <c r="AC170" s="81" t="s">
        <v>65</v>
      </c>
    </row>
    <row r="171" spans="1:29">
      <c r="A171" s="81" t="s">
        <v>93</v>
      </c>
      <c r="B171" s="84">
        <v>46099</v>
      </c>
      <c r="C171" s="83">
        <v>46099</v>
      </c>
      <c r="D171" s="85" t="s">
        <v>164</v>
      </c>
      <c r="E171" s="86">
        <v>0.79166666666666663</v>
      </c>
      <c r="F171" s="86">
        <v>0.99930555555555556</v>
      </c>
      <c r="G171" s="86">
        <v>3.4722222222222218E-4</v>
      </c>
      <c r="H171" s="81" t="s">
        <v>180</v>
      </c>
      <c r="I171" s="87" t="s">
        <v>116</v>
      </c>
      <c r="J171" s="81" t="s">
        <v>78</v>
      </c>
      <c r="K171" s="81"/>
      <c r="L171" s="81">
        <v>1</v>
      </c>
      <c r="M171" s="81">
        <v>69727</v>
      </c>
      <c r="N171" s="81" t="s">
        <v>33</v>
      </c>
      <c r="O171" s="81" t="s">
        <v>161</v>
      </c>
      <c r="P171" s="91">
        <v>57</v>
      </c>
      <c r="Q171" s="81"/>
      <c r="R171" s="91">
        <v>57</v>
      </c>
      <c r="S171" s="89">
        <v>46082</v>
      </c>
      <c r="T171" s="91">
        <v>8.5499999999999989</v>
      </c>
      <c r="U171" s="90">
        <v>4</v>
      </c>
      <c r="V171" s="91">
        <v>48.45</v>
      </c>
      <c r="W171" s="81" t="s">
        <v>85</v>
      </c>
      <c r="X171" s="81" t="s">
        <v>76</v>
      </c>
      <c r="Y171" s="81" t="s">
        <v>6</v>
      </c>
      <c r="Z171" s="81" t="s">
        <v>57</v>
      </c>
      <c r="AA171" s="81" t="s">
        <v>32</v>
      </c>
      <c r="AB171" s="90" t="s">
        <v>162</v>
      </c>
      <c r="AC171" s="81" t="s">
        <v>65</v>
      </c>
    </row>
    <row r="172" spans="1:29">
      <c r="A172" s="81" t="s">
        <v>93</v>
      </c>
      <c r="B172" s="84">
        <v>46094</v>
      </c>
      <c r="C172" s="83">
        <v>46094</v>
      </c>
      <c r="D172" s="85" t="s">
        <v>166</v>
      </c>
      <c r="E172" s="86">
        <v>0.79166666666666663</v>
      </c>
      <c r="F172" s="86">
        <v>0.99930555555555556</v>
      </c>
      <c r="G172" s="86">
        <v>3.4722222222222218E-4</v>
      </c>
      <c r="H172" s="81" t="s">
        <v>180</v>
      </c>
      <c r="I172" s="87" t="s">
        <v>118</v>
      </c>
      <c r="J172" s="81" t="s">
        <v>78</v>
      </c>
      <c r="K172" s="81"/>
      <c r="L172" s="81">
        <v>1</v>
      </c>
      <c r="M172" s="81">
        <v>69727</v>
      </c>
      <c r="N172" s="81" t="s">
        <v>33</v>
      </c>
      <c r="O172" s="81" t="s">
        <v>161</v>
      </c>
      <c r="P172" s="91">
        <v>57</v>
      </c>
      <c r="Q172" s="81"/>
      <c r="R172" s="91">
        <v>57</v>
      </c>
      <c r="S172" s="89">
        <v>46082</v>
      </c>
      <c r="T172" s="91">
        <v>8.5499999999999989</v>
      </c>
      <c r="U172" s="90">
        <v>4</v>
      </c>
      <c r="V172" s="91">
        <v>48.45</v>
      </c>
      <c r="W172" s="81" t="s">
        <v>85</v>
      </c>
      <c r="X172" s="81" t="s">
        <v>76</v>
      </c>
      <c r="Y172" s="81" t="s">
        <v>6</v>
      </c>
      <c r="Z172" s="81" t="s">
        <v>57</v>
      </c>
      <c r="AA172" s="81" t="s">
        <v>32</v>
      </c>
      <c r="AB172" s="90" t="s">
        <v>162</v>
      </c>
      <c r="AC172" s="81" t="s">
        <v>65</v>
      </c>
    </row>
    <row r="173" spans="1:29">
      <c r="A173" s="81" t="s">
        <v>93</v>
      </c>
      <c r="B173" s="84">
        <v>46105</v>
      </c>
      <c r="C173" s="83">
        <v>46105</v>
      </c>
      <c r="D173" s="85" t="s">
        <v>163</v>
      </c>
      <c r="E173" s="86">
        <v>0.79166666666666663</v>
      </c>
      <c r="F173" s="86">
        <v>0.99930555555555556</v>
      </c>
      <c r="G173" s="86">
        <v>3.4722222222222218E-4</v>
      </c>
      <c r="H173" s="81" t="s">
        <v>180</v>
      </c>
      <c r="I173" s="87" t="s">
        <v>119</v>
      </c>
      <c r="J173" s="81" t="s">
        <v>78</v>
      </c>
      <c r="K173" s="81"/>
      <c r="L173" s="81">
        <v>1</v>
      </c>
      <c r="M173" s="81">
        <v>69727</v>
      </c>
      <c r="N173" s="81" t="s">
        <v>33</v>
      </c>
      <c r="O173" s="81" t="s">
        <v>161</v>
      </c>
      <c r="P173" s="91">
        <v>57</v>
      </c>
      <c r="Q173" s="81"/>
      <c r="R173" s="91">
        <v>57</v>
      </c>
      <c r="S173" s="89">
        <v>46082</v>
      </c>
      <c r="T173" s="91">
        <v>8.5499999999999989</v>
      </c>
      <c r="U173" s="90">
        <v>4</v>
      </c>
      <c r="V173" s="91">
        <v>48.45</v>
      </c>
      <c r="W173" s="81" t="s">
        <v>85</v>
      </c>
      <c r="X173" s="81" t="s">
        <v>76</v>
      </c>
      <c r="Y173" s="81" t="s">
        <v>6</v>
      </c>
      <c r="Z173" s="81" t="s">
        <v>57</v>
      </c>
      <c r="AA173" s="81" t="s">
        <v>32</v>
      </c>
      <c r="AB173" s="90" t="s">
        <v>162</v>
      </c>
      <c r="AC173" s="81" t="s">
        <v>65</v>
      </c>
    </row>
    <row r="174" spans="1:29">
      <c r="A174" s="81" t="s">
        <v>93</v>
      </c>
      <c r="B174" s="84">
        <v>46093</v>
      </c>
      <c r="C174" s="83">
        <v>46093</v>
      </c>
      <c r="D174" s="85" t="s">
        <v>165</v>
      </c>
      <c r="E174" s="86">
        <v>0.79166666666666663</v>
      </c>
      <c r="F174" s="86">
        <v>0.99930555555555556</v>
      </c>
      <c r="G174" s="86">
        <v>3.4722222222222218E-4</v>
      </c>
      <c r="H174" s="81" t="s">
        <v>180</v>
      </c>
      <c r="I174" s="87" t="s">
        <v>174</v>
      </c>
      <c r="J174" s="81" t="s">
        <v>78</v>
      </c>
      <c r="K174" s="81"/>
      <c r="L174" s="81">
        <v>1</v>
      </c>
      <c r="M174" s="81">
        <v>69727</v>
      </c>
      <c r="N174" s="81" t="s">
        <v>33</v>
      </c>
      <c r="O174" s="81" t="s">
        <v>161</v>
      </c>
      <c r="P174" s="91">
        <v>57</v>
      </c>
      <c r="Q174" s="81"/>
      <c r="R174" s="91">
        <v>57</v>
      </c>
      <c r="S174" s="89">
        <v>46082</v>
      </c>
      <c r="T174" s="91">
        <v>8.5499999999999989</v>
      </c>
      <c r="U174" s="90">
        <v>4</v>
      </c>
      <c r="V174" s="91">
        <v>48.45</v>
      </c>
      <c r="W174" s="81" t="s">
        <v>85</v>
      </c>
      <c r="X174" s="81" t="s">
        <v>76</v>
      </c>
      <c r="Y174" s="81" t="s">
        <v>6</v>
      </c>
      <c r="Z174" s="81" t="s">
        <v>57</v>
      </c>
      <c r="AA174" s="81" t="s">
        <v>32</v>
      </c>
      <c r="AB174" s="90" t="s">
        <v>162</v>
      </c>
      <c r="AC174" s="81" t="s">
        <v>65</v>
      </c>
    </row>
    <row r="175" spans="1:29">
      <c r="A175" s="81" t="s">
        <v>93</v>
      </c>
      <c r="B175" s="84">
        <v>46091</v>
      </c>
      <c r="C175" s="83">
        <v>46091</v>
      </c>
      <c r="D175" s="85" t="s">
        <v>163</v>
      </c>
      <c r="E175" s="86">
        <v>0.79166666666666663</v>
      </c>
      <c r="F175" s="86">
        <v>0.99930555555555556</v>
      </c>
      <c r="G175" s="86">
        <v>3.4722222222222218E-4</v>
      </c>
      <c r="H175" s="81" t="s">
        <v>180</v>
      </c>
      <c r="I175" s="87" t="s">
        <v>120</v>
      </c>
      <c r="J175" s="81" t="s">
        <v>78</v>
      </c>
      <c r="K175" s="81"/>
      <c r="L175" s="81">
        <v>1</v>
      </c>
      <c r="M175" s="81">
        <v>69727</v>
      </c>
      <c r="N175" s="81" t="s">
        <v>33</v>
      </c>
      <c r="O175" s="81" t="s">
        <v>161</v>
      </c>
      <c r="P175" s="91">
        <v>57</v>
      </c>
      <c r="Q175" s="81"/>
      <c r="R175" s="91">
        <v>57</v>
      </c>
      <c r="S175" s="89">
        <v>46082</v>
      </c>
      <c r="T175" s="91">
        <v>8.5499999999999989</v>
      </c>
      <c r="U175" s="90">
        <v>4</v>
      </c>
      <c r="V175" s="91">
        <v>48.45</v>
      </c>
      <c r="W175" s="81" t="s">
        <v>85</v>
      </c>
      <c r="X175" s="81" t="s">
        <v>76</v>
      </c>
      <c r="Y175" s="81" t="s">
        <v>6</v>
      </c>
      <c r="Z175" s="81" t="s">
        <v>57</v>
      </c>
      <c r="AA175" s="81" t="s">
        <v>32</v>
      </c>
      <c r="AB175" s="90" t="s">
        <v>162</v>
      </c>
      <c r="AC175" s="81" t="s">
        <v>65</v>
      </c>
    </row>
    <row r="176" spans="1:29">
      <c r="A176" s="81" t="s">
        <v>93</v>
      </c>
      <c r="B176" s="84">
        <v>46092</v>
      </c>
      <c r="C176" s="83">
        <v>46092</v>
      </c>
      <c r="D176" s="85" t="s">
        <v>164</v>
      </c>
      <c r="E176" s="86">
        <v>0.79166666666666663</v>
      </c>
      <c r="F176" s="86">
        <v>0.99930555555555556</v>
      </c>
      <c r="G176" s="86">
        <v>3.4722222222222218E-4</v>
      </c>
      <c r="H176" s="81" t="s">
        <v>180</v>
      </c>
      <c r="I176" s="87" t="s">
        <v>173</v>
      </c>
      <c r="J176" s="81" t="s">
        <v>78</v>
      </c>
      <c r="K176" s="81"/>
      <c r="L176" s="81">
        <v>1</v>
      </c>
      <c r="M176" s="81">
        <v>69727</v>
      </c>
      <c r="N176" s="81" t="s">
        <v>33</v>
      </c>
      <c r="O176" s="81" t="s">
        <v>161</v>
      </c>
      <c r="P176" s="91">
        <v>57</v>
      </c>
      <c r="Q176" s="81"/>
      <c r="R176" s="91">
        <v>57</v>
      </c>
      <c r="S176" s="89">
        <v>46082</v>
      </c>
      <c r="T176" s="91">
        <v>8.5499999999999989</v>
      </c>
      <c r="U176" s="90">
        <v>4</v>
      </c>
      <c r="V176" s="91">
        <v>48.45</v>
      </c>
      <c r="W176" s="81" t="s">
        <v>85</v>
      </c>
      <c r="X176" s="81" t="s">
        <v>76</v>
      </c>
      <c r="Y176" s="81" t="s">
        <v>6</v>
      </c>
      <c r="Z176" s="81" t="s">
        <v>57</v>
      </c>
      <c r="AA176" s="81" t="s">
        <v>32</v>
      </c>
      <c r="AB176" s="90" t="s">
        <v>162</v>
      </c>
      <c r="AC176" s="81" t="s">
        <v>65</v>
      </c>
    </row>
    <row r="177" spans="1:29">
      <c r="A177" s="81" t="s">
        <v>93</v>
      </c>
      <c r="B177" s="84">
        <v>46104</v>
      </c>
      <c r="C177" s="83">
        <v>46104</v>
      </c>
      <c r="D177" s="85" t="s">
        <v>160</v>
      </c>
      <c r="E177" s="86">
        <v>0.79166666666666663</v>
      </c>
      <c r="F177" s="86">
        <v>0.99930555555555556</v>
      </c>
      <c r="G177" s="86">
        <v>3.4722222222222218E-4</v>
      </c>
      <c r="H177" s="81" t="s">
        <v>180</v>
      </c>
      <c r="I177" s="87" t="s">
        <v>122</v>
      </c>
      <c r="J177" s="81" t="s">
        <v>78</v>
      </c>
      <c r="K177" s="81"/>
      <c r="L177" s="81">
        <v>1</v>
      </c>
      <c r="M177" s="81">
        <v>69727</v>
      </c>
      <c r="N177" s="81" t="s">
        <v>33</v>
      </c>
      <c r="O177" s="81" t="s">
        <v>161</v>
      </c>
      <c r="P177" s="91">
        <v>57</v>
      </c>
      <c r="Q177" s="81"/>
      <c r="R177" s="91">
        <v>57</v>
      </c>
      <c r="S177" s="89">
        <v>46082</v>
      </c>
      <c r="T177" s="91">
        <v>8.5499999999999989</v>
      </c>
      <c r="U177" s="90">
        <v>4</v>
      </c>
      <c r="V177" s="91">
        <v>48.45</v>
      </c>
      <c r="W177" s="81" t="s">
        <v>85</v>
      </c>
      <c r="X177" s="81" t="s">
        <v>76</v>
      </c>
      <c r="Y177" s="81" t="s">
        <v>6</v>
      </c>
      <c r="Z177" s="81" t="s">
        <v>57</v>
      </c>
      <c r="AA177" s="81" t="s">
        <v>32</v>
      </c>
      <c r="AB177" s="90" t="s">
        <v>162</v>
      </c>
      <c r="AC177" s="81" t="s">
        <v>65</v>
      </c>
    </row>
    <row r="178" spans="1:29">
      <c r="A178" s="81" t="s">
        <v>93</v>
      </c>
      <c r="B178" s="84">
        <v>46106</v>
      </c>
      <c r="C178" s="83">
        <v>46106</v>
      </c>
      <c r="D178" s="85" t="s">
        <v>164</v>
      </c>
      <c r="E178" s="86">
        <v>0.79166666666666663</v>
      </c>
      <c r="F178" s="86">
        <v>0.99930555555555556</v>
      </c>
      <c r="G178" s="86">
        <v>3.4722222222222218E-4</v>
      </c>
      <c r="H178" s="81" t="s">
        <v>180</v>
      </c>
      <c r="I178" s="87" t="s">
        <v>124</v>
      </c>
      <c r="J178" s="81" t="s">
        <v>78</v>
      </c>
      <c r="K178" s="81"/>
      <c r="L178" s="81">
        <v>1</v>
      </c>
      <c r="M178" s="81">
        <v>69727</v>
      </c>
      <c r="N178" s="81" t="s">
        <v>33</v>
      </c>
      <c r="O178" s="81" t="s">
        <v>161</v>
      </c>
      <c r="P178" s="91">
        <v>57</v>
      </c>
      <c r="Q178" s="81"/>
      <c r="R178" s="91">
        <v>57</v>
      </c>
      <c r="S178" s="89">
        <v>46082</v>
      </c>
      <c r="T178" s="91">
        <v>8.5499999999999989</v>
      </c>
      <c r="U178" s="90">
        <v>4</v>
      </c>
      <c r="V178" s="91">
        <v>48.45</v>
      </c>
      <c r="W178" s="81" t="s">
        <v>85</v>
      </c>
      <c r="X178" s="81" t="s">
        <v>76</v>
      </c>
      <c r="Y178" s="81" t="s">
        <v>6</v>
      </c>
      <c r="Z178" s="81" t="s">
        <v>57</v>
      </c>
      <c r="AA178" s="81" t="s">
        <v>32</v>
      </c>
      <c r="AB178" s="90" t="s">
        <v>162</v>
      </c>
      <c r="AC178" s="81" t="s">
        <v>65</v>
      </c>
    </row>
    <row r="179" spans="1:29">
      <c r="A179" s="81" t="s">
        <v>93</v>
      </c>
      <c r="B179" s="84">
        <v>46109</v>
      </c>
      <c r="C179" s="83">
        <v>46109</v>
      </c>
      <c r="D179" s="85" t="s">
        <v>168</v>
      </c>
      <c r="E179" s="86">
        <v>0.25</v>
      </c>
      <c r="F179" s="86">
        <v>0.5</v>
      </c>
      <c r="G179" s="86">
        <v>3.4722222222222218E-4</v>
      </c>
      <c r="H179" s="81" t="s">
        <v>180</v>
      </c>
      <c r="I179" s="87" t="s">
        <v>77</v>
      </c>
      <c r="J179" s="81" t="s">
        <v>78</v>
      </c>
      <c r="K179" s="81"/>
      <c r="L179" s="81">
        <v>1</v>
      </c>
      <c r="M179" s="81">
        <v>69728</v>
      </c>
      <c r="N179" s="81" t="s">
        <v>33</v>
      </c>
      <c r="O179" s="81" t="s">
        <v>161</v>
      </c>
      <c r="P179" s="91">
        <v>46</v>
      </c>
      <c r="Q179" s="81"/>
      <c r="R179" s="91">
        <v>46</v>
      </c>
      <c r="S179" s="89">
        <v>46082</v>
      </c>
      <c r="T179" s="91">
        <v>6.8999999999999995</v>
      </c>
      <c r="U179" s="90">
        <v>4</v>
      </c>
      <c r="V179" s="91">
        <v>39.1</v>
      </c>
      <c r="W179" s="81" t="s">
        <v>85</v>
      </c>
      <c r="X179" s="81" t="s">
        <v>76</v>
      </c>
      <c r="Y179" s="81" t="s">
        <v>6</v>
      </c>
      <c r="Z179" s="81" t="s">
        <v>57</v>
      </c>
      <c r="AA179" s="81" t="s">
        <v>32</v>
      </c>
      <c r="AB179" s="90" t="s">
        <v>162</v>
      </c>
      <c r="AC179" s="81" t="s">
        <v>65</v>
      </c>
    </row>
    <row r="180" spans="1:29">
      <c r="A180" s="81" t="s">
        <v>93</v>
      </c>
      <c r="B180" s="84">
        <v>46095</v>
      </c>
      <c r="C180" s="83">
        <v>46095</v>
      </c>
      <c r="D180" s="85" t="s">
        <v>168</v>
      </c>
      <c r="E180" s="86">
        <v>0.25</v>
      </c>
      <c r="F180" s="86">
        <v>0.5</v>
      </c>
      <c r="G180" s="86">
        <v>3.4722222222222218E-4</v>
      </c>
      <c r="H180" s="81" t="s">
        <v>180</v>
      </c>
      <c r="I180" s="87" t="s">
        <v>96</v>
      </c>
      <c r="J180" s="81" t="s">
        <v>78</v>
      </c>
      <c r="K180" s="81"/>
      <c r="L180" s="81">
        <v>1</v>
      </c>
      <c r="M180" s="81">
        <v>69728</v>
      </c>
      <c r="N180" s="81" t="s">
        <v>33</v>
      </c>
      <c r="O180" s="81" t="s">
        <v>161</v>
      </c>
      <c r="P180" s="91">
        <v>46</v>
      </c>
      <c r="Q180" s="81"/>
      <c r="R180" s="91">
        <v>46</v>
      </c>
      <c r="S180" s="89">
        <v>46082</v>
      </c>
      <c r="T180" s="91">
        <v>6.8999999999999995</v>
      </c>
      <c r="U180" s="90">
        <v>4</v>
      </c>
      <c r="V180" s="91">
        <v>39.1</v>
      </c>
      <c r="W180" s="81" t="s">
        <v>85</v>
      </c>
      <c r="X180" s="81" t="s">
        <v>76</v>
      </c>
      <c r="Y180" s="81" t="s">
        <v>6</v>
      </c>
      <c r="Z180" s="81" t="s">
        <v>57</v>
      </c>
      <c r="AA180" s="81" t="s">
        <v>32</v>
      </c>
      <c r="AB180" s="90" t="s">
        <v>162</v>
      </c>
      <c r="AC180" s="81" t="s">
        <v>65</v>
      </c>
    </row>
    <row r="181" spans="1:29">
      <c r="A181" s="81" t="s">
        <v>93</v>
      </c>
      <c r="B181" s="84">
        <v>46102</v>
      </c>
      <c r="C181" s="83">
        <v>46102</v>
      </c>
      <c r="D181" s="85" t="s">
        <v>168</v>
      </c>
      <c r="E181" s="86">
        <v>0.25</v>
      </c>
      <c r="F181" s="86">
        <v>0.5</v>
      </c>
      <c r="G181" s="86">
        <v>3.4722222222222218E-4</v>
      </c>
      <c r="H181" s="81" t="s">
        <v>180</v>
      </c>
      <c r="I181" s="87" t="s">
        <v>96</v>
      </c>
      <c r="J181" s="81" t="s">
        <v>78</v>
      </c>
      <c r="K181" s="81"/>
      <c r="L181" s="81">
        <v>1</v>
      </c>
      <c r="M181" s="81">
        <v>69728</v>
      </c>
      <c r="N181" s="81" t="s">
        <v>33</v>
      </c>
      <c r="O181" s="81" t="s">
        <v>161</v>
      </c>
      <c r="P181" s="91">
        <v>46</v>
      </c>
      <c r="Q181" s="81"/>
      <c r="R181" s="91">
        <v>46</v>
      </c>
      <c r="S181" s="89">
        <v>46082</v>
      </c>
      <c r="T181" s="91">
        <v>6.8999999999999995</v>
      </c>
      <c r="U181" s="90">
        <v>4</v>
      </c>
      <c r="V181" s="91">
        <v>39.1</v>
      </c>
      <c r="W181" s="81" t="s">
        <v>85</v>
      </c>
      <c r="X181" s="81" t="s">
        <v>76</v>
      </c>
      <c r="Y181" s="81" t="s">
        <v>6</v>
      </c>
      <c r="Z181" s="81" t="s">
        <v>57</v>
      </c>
      <c r="AA181" s="81" t="s">
        <v>32</v>
      </c>
      <c r="AB181" s="90" t="s">
        <v>162</v>
      </c>
      <c r="AC181" s="81" t="s">
        <v>65</v>
      </c>
    </row>
    <row r="182" spans="1:29">
      <c r="A182" s="81" t="s">
        <v>93</v>
      </c>
      <c r="B182" s="84">
        <v>46109</v>
      </c>
      <c r="C182" s="83">
        <v>46109</v>
      </c>
      <c r="D182" s="85" t="s">
        <v>168</v>
      </c>
      <c r="E182" s="86">
        <v>0.25</v>
      </c>
      <c r="F182" s="86">
        <v>0.5</v>
      </c>
      <c r="G182" s="86">
        <v>3.4722222222222218E-4</v>
      </c>
      <c r="H182" s="81" t="s">
        <v>180</v>
      </c>
      <c r="I182" s="87" t="s">
        <v>97</v>
      </c>
      <c r="J182" s="81" t="s">
        <v>78</v>
      </c>
      <c r="K182" s="81"/>
      <c r="L182" s="81">
        <v>1</v>
      </c>
      <c r="M182" s="81">
        <v>69728</v>
      </c>
      <c r="N182" s="81" t="s">
        <v>33</v>
      </c>
      <c r="O182" s="81" t="s">
        <v>161</v>
      </c>
      <c r="P182" s="91">
        <v>46</v>
      </c>
      <c r="Q182" s="81"/>
      <c r="R182" s="91">
        <v>46</v>
      </c>
      <c r="S182" s="89">
        <v>46082</v>
      </c>
      <c r="T182" s="91">
        <v>6.8999999999999995</v>
      </c>
      <c r="U182" s="90">
        <v>4</v>
      </c>
      <c r="V182" s="91">
        <v>39.1</v>
      </c>
      <c r="W182" s="81" t="s">
        <v>85</v>
      </c>
      <c r="X182" s="81" t="s">
        <v>76</v>
      </c>
      <c r="Y182" s="81" t="s">
        <v>6</v>
      </c>
      <c r="Z182" s="81" t="s">
        <v>57</v>
      </c>
      <c r="AA182" s="81" t="s">
        <v>32</v>
      </c>
      <c r="AB182" s="90" t="s">
        <v>162</v>
      </c>
      <c r="AC182" s="81" t="s">
        <v>65</v>
      </c>
    </row>
    <row r="183" spans="1:29">
      <c r="A183" s="81" t="s">
        <v>93</v>
      </c>
      <c r="B183" s="84">
        <v>46102</v>
      </c>
      <c r="C183" s="83">
        <v>46102</v>
      </c>
      <c r="D183" s="85" t="s">
        <v>168</v>
      </c>
      <c r="E183" s="86">
        <v>0.25</v>
      </c>
      <c r="F183" s="86">
        <v>0.5</v>
      </c>
      <c r="G183" s="86">
        <v>3.4722222222222218E-4</v>
      </c>
      <c r="H183" s="81" t="s">
        <v>180</v>
      </c>
      <c r="I183" s="87" t="s">
        <v>99</v>
      </c>
      <c r="J183" s="81" t="s">
        <v>78</v>
      </c>
      <c r="K183" s="81"/>
      <c r="L183" s="81">
        <v>1</v>
      </c>
      <c r="M183" s="81">
        <v>69728</v>
      </c>
      <c r="N183" s="81" t="s">
        <v>33</v>
      </c>
      <c r="O183" s="81" t="s">
        <v>161</v>
      </c>
      <c r="P183" s="91">
        <v>46</v>
      </c>
      <c r="Q183" s="81"/>
      <c r="R183" s="91">
        <v>46</v>
      </c>
      <c r="S183" s="89">
        <v>46082</v>
      </c>
      <c r="T183" s="91">
        <v>6.8999999999999995</v>
      </c>
      <c r="U183" s="90">
        <v>4</v>
      </c>
      <c r="V183" s="91">
        <v>39.1</v>
      </c>
      <c r="W183" s="81" t="s">
        <v>85</v>
      </c>
      <c r="X183" s="81" t="s">
        <v>76</v>
      </c>
      <c r="Y183" s="81" t="s">
        <v>6</v>
      </c>
      <c r="Z183" s="81" t="s">
        <v>57</v>
      </c>
      <c r="AA183" s="81" t="s">
        <v>32</v>
      </c>
      <c r="AB183" s="90" t="s">
        <v>162</v>
      </c>
      <c r="AC183" s="81" t="s">
        <v>65</v>
      </c>
    </row>
    <row r="184" spans="1:29">
      <c r="A184" s="81" t="s">
        <v>93</v>
      </c>
      <c r="B184" s="84">
        <v>46095</v>
      </c>
      <c r="C184" s="83">
        <v>46095</v>
      </c>
      <c r="D184" s="85" t="s">
        <v>168</v>
      </c>
      <c r="E184" s="86">
        <v>0.25</v>
      </c>
      <c r="F184" s="86">
        <v>0.5</v>
      </c>
      <c r="G184" s="86">
        <v>3.4722222222222218E-4</v>
      </c>
      <c r="H184" s="81" t="s">
        <v>180</v>
      </c>
      <c r="I184" s="87" t="s">
        <v>100</v>
      </c>
      <c r="J184" s="81" t="s">
        <v>78</v>
      </c>
      <c r="K184" s="81"/>
      <c r="L184" s="81">
        <v>1</v>
      </c>
      <c r="M184" s="81">
        <v>69728</v>
      </c>
      <c r="N184" s="81" t="s">
        <v>33</v>
      </c>
      <c r="O184" s="81" t="s">
        <v>161</v>
      </c>
      <c r="P184" s="91">
        <v>46</v>
      </c>
      <c r="Q184" s="81"/>
      <c r="R184" s="91">
        <v>46</v>
      </c>
      <c r="S184" s="89">
        <v>46082</v>
      </c>
      <c r="T184" s="91">
        <v>6.8999999999999995</v>
      </c>
      <c r="U184" s="90">
        <v>4</v>
      </c>
      <c r="V184" s="91">
        <v>39.1</v>
      </c>
      <c r="W184" s="81" t="s">
        <v>85</v>
      </c>
      <c r="X184" s="81" t="s">
        <v>76</v>
      </c>
      <c r="Y184" s="81" t="s">
        <v>6</v>
      </c>
      <c r="Z184" s="81" t="s">
        <v>57</v>
      </c>
      <c r="AA184" s="81" t="s">
        <v>32</v>
      </c>
      <c r="AB184" s="90" t="s">
        <v>162</v>
      </c>
      <c r="AC184" s="81" t="s">
        <v>65</v>
      </c>
    </row>
    <row r="185" spans="1:29">
      <c r="A185" s="81" t="s">
        <v>93</v>
      </c>
      <c r="B185" s="84">
        <v>46096</v>
      </c>
      <c r="C185" s="83">
        <v>46096</v>
      </c>
      <c r="D185" s="85" t="s">
        <v>169</v>
      </c>
      <c r="E185" s="86">
        <v>0.25</v>
      </c>
      <c r="F185" s="86">
        <v>0.5</v>
      </c>
      <c r="G185" s="86">
        <v>3.4722222222222218E-4</v>
      </c>
      <c r="H185" s="81" t="s">
        <v>180</v>
      </c>
      <c r="I185" s="87" t="s">
        <v>100</v>
      </c>
      <c r="J185" s="81" t="s">
        <v>78</v>
      </c>
      <c r="K185" s="81"/>
      <c r="L185" s="81">
        <v>1</v>
      </c>
      <c r="M185" s="81">
        <v>69728</v>
      </c>
      <c r="N185" s="81" t="s">
        <v>33</v>
      </c>
      <c r="O185" s="81" t="s">
        <v>161</v>
      </c>
      <c r="P185" s="91">
        <v>46</v>
      </c>
      <c r="Q185" s="81"/>
      <c r="R185" s="91">
        <v>46</v>
      </c>
      <c r="S185" s="89">
        <v>46082</v>
      </c>
      <c r="T185" s="91">
        <v>6.8999999999999995</v>
      </c>
      <c r="U185" s="90">
        <v>4</v>
      </c>
      <c r="V185" s="91">
        <v>39.1</v>
      </c>
      <c r="W185" s="81" t="s">
        <v>85</v>
      </c>
      <c r="X185" s="81" t="s">
        <v>76</v>
      </c>
      <c r="Y185" s="81" t="s">
        <v>6</v>
      </c>
      <c r="Z185" s="81" t="s">
        <v>57</v>
      </c>
      <c r="AA185" s="81" t="s">
        <v>32</v>
      </c>
      <c r="AB185" s="90" t="s">
        <v>162</v>
      </c>
      <c r="AC185" s="81" t="s">
        <v>65</v>
      </c>
    </row>
    <row r="186" spans="1:29">
      <c r="A186" s="81" t="s">
        <v>93</v>
      </c>
      <c r="B186" s="84">
        <v>46103</v>
      </c>
      <c r="C186" s="83">
        <v>46103</v>
      </c>
      <c r="D186" s="85" t="s">
        <v>169</v>
      </c>
      <c r="E186" s="86">
        <v>0.25</v>
      </c>
      <c r="F186" s="86">
        <v>0.5</v>
      </c>
      <c r="G186" s="86">
        <v>3.4722222222222218E-4</v>
      </c>
      <c r="H186" s="81" t="s">
        <v>180</v>
      </c>
      <c r="I186" s="87" t="s">
        <v>100</v>
      </c>
      <c r="J186" s="81" t="s">
        <v>78</v>
      </c>
      <c r="K186" s="81"/>
      <c r="L186" s="81">
        <v>1</v>
      </c>
      <c r="M186" s="81">
        <v>69728</v>
      </c>
      <c r="N186" s="81" t="s">
        <v>33</v>
      </c>
      <c r="O186" s="81" t="s">
        <v>161</v>
      </c>
      <c r="P186" s="91">
        <v>46</v>
      </c>
      <c r="Q186" s="81"/>
      <c r="R186" s="91">
        <v>46</v>
      </c>
      <c r="S186" s="89">
        <v>46082</v>
      </c>
      <c r="T186" s="91">
        <v>6.8999999999999995</v>
      </c>
      <c r="U186" s="90">
        <v>4</v>
      </c>
      <c r="V186" s="91">
        <v>39.1</v>
      </c>
      <c r="W186" s="81" t="s">
        <v>85</v>
      </c>
      <c r="X186" s="81" t="s">
        <v>76</v>
      </c>
      <c r="Y186" s="81" t="s">
        <v>6</v>
      </c>
      <c r="Z186" s="81" t="s">
        <v>57</v>
      </c>
      <c r="AA186" s="81" t="s">
        <v>32</v>
      </c>
      <c r="AB186" s="90" t="s">
        <v>162</v>
      </c>
      <c r="AC186" s="81" t="s">
        <v>65</v>
      </c>
    </row>
    <row r="187" spans="1:29">
      <c r="A187" s="81" t="s">
        <v>93</v>
      </c>
      <c r="B187" s="84">
        <v>46110</v>
      </c>
      <c r="C187" s="83">
        <v>46110</v>
      </c>
      <c r="D187" s="85" t="s">
        <v>169</v>
      </c>
      <c r="E187" s="86">
        <v>0.25</v>
      </c>
      <c r="F187" s="86">
        <v>0.5</v>
      </c>
      <c r="G187" s="86">
        <v>3.4722222222222218E-4</v>
      </c>
      <c r="H187" s="81" t="s">
        <v>180</v>
      </c>
      <c r="I187" s="87" t="s">
        <v>100</v>
      </c>
      <c r="J187" s="81" t="s">
        <v>78</v>
      </c>
      <c r="K187" s="81"/>
      <c r="L187" s="81">
        <v>1</v>
      </c>
      <c r="M187" s="81">
        <v>69728</v>
      </c>
      <c r="N187" s="81" t="s">
        <v>33</v>
      </c>
      <c r="O187" s="81" t="s">
        <v>161</v>
      </c>
      <c r="P187" s="91">
        <v>46</v>
      </c>
      <c r="Q187" s="81"/>
      <c r="R187" s="91">
        <v>46</v>
      </c>
      <c r="S187" s="89">
        <v>46082</v>
      </c>
      <c r="T187" s="91">
        <v>6.8999999999999995</v>
      </c>
      <c r="U187" s="90">
        <v>4</v>
      </c>
      <c r="V187" s="91">
        <v>39.1</v>
      </c>
      <c r="W187" s="81" t="s">
        <v>85</v>
      </c>
      <c r="X187" s="81" t="s">
        <v>76</v>
      </c>
      <c r="Y187" s="81" t="s">
        <v>6</v>
      </c>
      <c r="Z187" s="81" t="s">
        <v>57</v>
      </c>
      <c r="AA187" s="81" t="s">
        <v>32</v>
      </c>
      <c r="AB187" s="90" t="s">
        <v>162</v>
      </c>
      <c r="AC187" s="81" t="s">
        <v>65</v>
      </c>
    </row>
    <row r="188" spans="1:29">
      <c r="A188" s="81" t="s">
        <v>93</v>
      </c>
      <c r="B188" s="84">
        <v>46109</v>
      </c>
      <c r="C188" s="83">
        <v>46109</v>
      </c>
      <c r="D188" s="85" t="s">
        <v>168</v>
      </c>
      <c r="E188" s="86">
        <v>0.25</v>
      </c>
      <c r="F188" s="86">
        <v>0.5</v>
      </c>
      <c r="G188" s="86">
        <v>3.4722222222222218E-4</v>
      </c>
      <c r="H188" s="81" t="s">
        <v>180</v>
      </c>
      <c r="I188" s="87" t="s">
        <v>102</v>
      </c>
      <c r="J188" s="81" t="s">
        <v>78</v>
      </c>
      <c r="K188" s="81"/>
      <c r="L188" s="81">
        <v>1</v>
      </c>
      <c r="M188" s="81">
        <v>69728</v>
      </c>
      <c r="N188" s="81" t="s">
        <v>33</v>
      </c>
      <c r="O188" s="81" t="s">
        <v>161</v>
      </c>
      <c r="P188" s="91">
        <v>46</v>
      </c>
      <c r="Q188" s="81"/>
      <c r="R188" s="91">
        <v>46</v>
      </c>
      <c r="S188" s="89">
        <v>46082</v>
      </c>
      <c r="T188" s="91">
        <v>6.8999999999999995</v>
      </c>
      <c r="U188" s="90">
        <v>4</v>
      </c>
      <c r="V188" s="91">
        <v>39.1</v>
      </c>
      <c r="W188" s="81" t="s">
        <v>85</v>
      </c>
      <c r="X188" s="81" t="s">
        <v>76</v>
      </c>
      <c r="Y188" s="81" t="s">
        <v>6</v>
      </c>
      <c r="Z188" s="81" t="s">
        <v>57</v>
      </c>
      <c r="AA188" s="81" t="s">
        <v>32</v>
      </c>
      <c r="AB188" s="90" t="s">
        <v>162</v>
      </c>
      <c r="AC188" s="81" t="s">
        <v>65</v>
      </c>
    </row>
    <row r="189" spans="1:29">
      <c r="A189" s="81" t="s">
        <v>93</v>
      </c>
      <c r="B189" s="84">
        <v>46095</v>
      </c>
      <c r="C189" s="83">
        <v>46095</v>
      </c>
      <c r="D189" s="85" t="s">
        <v>168</v>
      </c>
      <c r="E189" s="86">
        <v>0.25</v>
      </c>
      <c r="F189" s="86">
        <v>0.5</v>
      </c>
      <c r="G189" s="86">
        <v>3.4722222222222218E-4</v>
      </c>
      <c r="H189" s="81" t="s">
        <v>180</v>
      </c>
      <c r="I189" s="87" t="s">
        <v>103</v>
      </c>
      <c r="J189" s="81" t="s">
        <v>78</v>
      </c>
      <c r="K189" s="81"/>
      <c r="L189" s="81">
        <v>1</v>
      </c>
      <c r="M189" s="81">
        <v>69728</v>
      </c>
      <c r="N189" s="81" t="s">
        <v>33</v>
      </c>
      <c r="O189" s="81" t="s">
        <v>161</v>
      </c>
      <c r="P189" s="91">
        <v>46</v>
      </c>
      <c r="Q189" s="81"/>
      <c r="R189" s="91">
        <v>46</v>
      </c>
      <c r="S189" s="89">
        <v>46082</v>
      </c>
      <c r="T189" s="91">
        <v>6.8999999999999995</v>
      </c>
      <c r="U189" s="90">
        <v>4</v>
      </c>
      <c r="V189" s="91">
        <v>39.1</v>
      </c>
      <c r="W189" s="81" t="s">
        <v>85</v>
      </c>
      <c r="X189" s="81" t="s">
        <v>76</v>
      </c>
      <c r="Y189" s="81" t="s">
        <v>6</v>
      </c>
      <c r="Z189" s="81" t="s">
        <v>57</v>
      </c>
      <c r="AA189" s="81" t="s">
        <v>32</v>
      </c>
      <c r="AB189" s="90" t="s">
        <v>162</v>
      </c>
      <c r="AC189" s="81" t="s">
        <v>65</v>
      </c>
    </row>
    <row r="190" spans="1:29">
      <c r="A190" s="81" t="s">
        <v>93</v>
      </c>
      <c r="B190" s="84">
        <v>46102</v>
      </c>
      <c r="C190" s="83">
        <v>46102</v>
      </c>
      <c r="D190" s="85" t="s">
        <v>168</v>
      </c>
      <c r="E190" s="86">
        <v>0.25</v>
      </c>
      <c r="F190" s="86">
        <v>0.5</v>
      </c>
      <c r="G190" s="86">
        <v>3.4722222222222218E-4</v>
      </c>
      <c r="H190" s="81" t="s">
        <v>180</v>
      </c>
      <c r="I190" s="87" t="s">
        <v>103</v>
      </c>
      <c r="J190" s="81" t="s">
        <v>78</v>
      </c>
      <c r="K190" s="81"/>
      <c r="L190" s="81">
        <v>1</v>
      </c>
      <c r="M190" s="81">
        <v>69728</v>
      </c>
      <c r="N190" s="81" t="s">
        <v>33</v>
      </c>
      <c r="O190" s="81" t="s">
        <v>161</v>
      </c>
      <c r="P190" s="91">
        <v>46</v>
      </c>
      <c r="Q190" s="81"/>
      <c r="R190" s="91">
        <v>46</v>
      </c>
      <c r="S190" s="89">
        <v>46082</v>
      </c>
      <c r="T190" s="91">
        <v>6.8999999999999995</v>
      </c>
      <c r="U190" s="90">
        <v>4</v>
      </c>
      <c r="V190" s="91">
        <v>39.1</v>
      </c>
      <c r="W190" s="81" t="s">
        <v>85</v>
      </c>
      <c r="X190" s="81" t="s">
        <v>76</v>
      </c>
      <c r="Y190" s="81" t="s">
        <v>6</v>
      </c>
      <c r="Z190" s="81" t="s">
        <v>57</v>
      </c>
      <c r="AA190" s="81" t="s">
        <v>32</v>
      </c>
      <c r="AB190" s="90" t="s">
        <v>162</v>
      </c>
      <c r="AC190" s="81" t="s">
        <v>65</v>
      </c>
    </row>
    <row r="191" spans="1:29">
      <c r="A191" s="81" t="s">
        <v>93</v>
      </c>
      <c r="B191" s="84">
        <v>46096</v>
      </c>
      <c r="C191" s="83">
        <v>46096</v>
      </c>
      <c r="D191" s="85" t="s">
        <v>169</v>
      </c>
      <c r="E191" s="86">
        <v>0.25</v>
      </c>
      <c r="F191" s="86">
        <v>0.5</v>
      </c>
      <c r="G191" s="86">
        <v>3.4722222222222218E-4</v>
      </c>
      <c r="H191" s="81" t="s">
        <v>180</v>
      </c>
      <c r="I191" s="87" t="s">
        <v>104</v>
      </c>
      <c r="J191" s="81" t="s">
        <v>78</v>
      </c>
      <c r="K191" s="81"/>
      <c r="L191" s="81">
        <v>1</v>
      </c>
      <c r="M191" s="81">
        <v>69728</v>
      </c>
      <c r="N191" s="81" t="s">
        <v>33</v>
      </c>
      <c r="O191" s="81" t="s">
        <v>161</v>
      </c>
      <c r="P191" s="91">
        <v>46</v>
      </c>
      <c r="Q191" s="81"/>
      <c r="R191" s="91">
        <v>46</v>
      </c>
      <c r="S191" s="89">
        <v>46082</v>
      </c>
      <c r="T191" s="91">
        <v>6.8999999999999995</v>
      </c>
      <c r="U191" s="90">
        <v>4</v>
      </c>
      <c r="V191" s="91">
        <v>39.1</v>
      </c>
      <c r="W191" s="81" t="s">
        <v>85</v>
      </c>
      <c r="X191" s="81" t="s">
        <v>76</v>
      </c>
      <c r="Y191" s="81" t="s">
        <v>6</v>
      </c>
      <c r="Z191" s="81" t="s">
        <v>57</v>
      </c>
      <c r="AA191" s="81" t="s">
        <v>32</v>
      </c>
      <c r="AB191" s="90" t="s">
        <v>162</v>
      </c>
      <c r="AC191" s="81" t="s">
        <v>65</v>
      </c>
    </row>
    <row r="192" spans="1:29">
      <c r="A192" s="81" t="s">
        <v>93</v>
      </c>
      <c r="B192" s="84">
        <v>46103</v>
      </c>
      <c r="C192" s="83">
        <v>46103</v>
      </c>
      <c r="D192" s="85" t="s">
        <v>169</v>
      </c>
      <c r="E192" s="86">
        <v>0.25</v>
      </c>
      <c r="F192" s="86">
        <v>0.5</v>
      </c>
      <c r="G192" s="86">
        <v>3.4722222222222218E-4</v>
      </c>
      <c r="H192" s="81" t="s">
        <v>180</v>
      </c>
      <c r="I192" s="87" t="s">
        <v>104</v>
      </c>
      <c r="J192" s="81" t="s">
        <v>78</v>
      </c>
      <c r="K192" s="81"/>
      <c r="L192" s="81">
        <v>1</v>
      </c>
      <c r="M192" s="81">
        <v>69728</v>
      </c>
      <c r="N192" s="81" t="s">
        <v>33</v>
      </c>
      <c r="O192" s="81" t="s">
        <v>161</v>
      </c>
      <c r="P192" s="91">
        <v>46</v>
      </c>
      <c r="Q192" s="81"/>
      <c r="R192" s="91">
        <v>46</v>
      </c>
      <c r="S192" s="89">
        <v>46082</v>
      </c>
      <c r="T192" s="91">
        <v>6.8999999999999995</v>
      </c>
      <c r="U192" s="90">
        <v>4</v>
      </c>
      <c r="V192" s="91">
        <v>39.1</v>
      </c>
      <c r="W192" s="81" t="s">
        <v>85</v>
      </c>
      <c r="X192" s="81" t="s">
        <v>76</v>
      </c>
      <c r="Y192" s="81" t="s">
        <v>6</v>
      </c>
      <c r="Z192" s="81" t="s">
        <v>57</v>
      </c>
      <c r="AA192" s="81" t="s">
        <v>32</v>
      </c>
      <c r="AB192" s="90" t="s">
        <v>162</v>
      </c>
      <c r="AC192" s="81" t="s">
        <v>65</v>
      </c>
    </row>
    <row r="193" spans="1:29">
      <c r="A193" s="81" t="s">
        <v>93</v>
      </c>
      <c r="B193" s="84">
        <v>46110</v>
      </c>
      <c r="C193" s="83">
        <v>46110</v>
      </c>
      <c r="D193" s="85" t="s">
        <v>169</v>
      </c>
      <c r="E193" s="86">
        <v>0.25</v>
      </c>
      <c r="F193" s="86">
        <v>0.5</v>
      </c>
      <c r="G193" s="86">
        <v>3.4722222222222218E-4</v>
      </c>
      <c r="H193" s="81" t="s">
        <v>180</v>
      </c>
      <c r="I193" s="87" t="s">
        <v>104</v>
      </c>
      <c r="J193" s="81" t="s">
        <v>78</v>
      </c>
      <c r="K193" s="81"/>
      <c r="L193" s="81">
        <v>1</v>
      </c>
      <c r="M193" s="81">
        <v>69728</v>
      </c>
      <c r="N193" s="81" t="s">
        <v>33</v>
      </c>
      <c r="O193" s="81" t="s">
        <v>161</v>
      </c>
      <c r="P193" s="91">
        <v>46</v>
      </c>
      <c r="Q193" s="81"/>
      <c r="R193" s="91">
        <v>46</v>
      </c>
      <c r="S193" s="89">
        <v>46082</v>
      </c>
      <c r="T193" s="91">
        <v>6.8999999999999995</v>
      </c>
      <c r="U193" s="90">
        <v>4</v>
      </c>
      <c r="V193" s="91">
        <v>39.1</v>
      </c>
      <c r="W193" s="81" t="s">
        <v>85</v>
      </c>
      <c r="X193" s="81" t="s">
        <v>76</v>
      </c>
      <c r="Y193" s="81" t="s">
        <v>6</v>
      </c>
      <c r="Z193" s="81" t="s">
        <v>57</v>
      </c>
      <c r="AA193" s="81" t="s">
        <v>32</v>
      </c>
      <c r="AB193" s="90" t="s">
        <v>162</v>
      </c>
      <c r="AC193" s="81" t="s">
        <v>65</v>
      </c>
    </row>
    <row r="194" spans="1:29">
      <c r="A194" s="81" t="s">
        <v>93</v>
      </c>
      <c r="B194" s="84">
        <v>46096</v>
      </c>
      <c r="C194" s="83">
        <v>46096</v>
      </c>
      <c r="D194" s="85" t="s">
        <v>169</v>
      </c>
      <c r="E194" s="86">
        <v>0.45833333333333331</v>
      </c>
      <c r="F194" s="86">
        <v>0.54166666666666663</v>
      </c>
      <c r="G194" s="86">
        <v>3.4722222222222218E-4</v>
      </c>
      <c r="H194" s="81" t="s">
        <v>180</v>
      </c>
      <c r="I194" s="87" t="s">
        <v>135</v>
      </c>
      <c r="J194" s="81" t="s">
        <v>136</v>
      </c>
      <c r="K194" s="81"/>
      <c r="L194" s="81">
        <v>1</v>
      </c>
      <c r="M194" s="81">
        <v>69729</v>
      </c>
      <c r="N194" s="81" t="s">
        <v>71</v>
      </c>
      <c r="O194" s="81" t="s">
        <v>161</v>
      </c>
      <c r="P194" s="91">
        <v>0</v>
      </c>
      <c r="Q194" s="81"/>
      <c r="R194" s="91">
        <v>0</v>
      </c>
      <c r="S194" s="89">
        <v>46082</v>
      </c>
      <c r="T194" s="91">
        <v>0</v>
      </c>
      <c r="U194" s="90">
        <v>4</v>
      </c>
      <c r="V194" s="91">
        <v>0</v>
      </c>
      <c r="W194" s="81" t="s">
        <v>85</v>
      </c>
      <c r="X194" s="81" t="s">
        <v>76</v>
      </c>
      <c r="Y194" s="81" t="s">
        <v>6</v>
      </c>
      <c r="Z194" s="81" t="s">
        <v>57</v>
      </c>
      <c r="AA194" s="81" t="s">
        <v>32</v>
      </c>
      <c r="AB194" s="90" t="s">
        <v>162</v>
      </c>
      <c r="AC194" s="81" t="s">
        <v>65</v>
      </c>
    </row>
    <row r="195" spans="1:29">
      <c r="A195" s="81" t="s">
        <v>93</v>
      </c>
      <c r="B195" s="84">
        <v>46097</v>
      </c>
      <c r="C195" s="83">
        <v>46097</v>
      </c>
      <c r="D195" s="85" t="s">
        <v>160</v>
      </c>
      <c r="E195" s="86">
        <v>0.45833333333333331</v>
      </c>
      <c r="F195" s="86">
        <v>0.54166666666666663</v>
      </c>
      <c r="G195" s="86">
        <v>3.4722222222222218E-4</v>
      </c>
      <c r="H195" s="81" t="s">
        <v>180</v>
      </c>
      <c r="I195" s="87" t="s">
        <v>135</v>
      </c>
      <c r="J195" s="81" t="s">
        <v>136</v>
      </c>
      <c r="K195" s="81"/>
      <c r="L195" s="81">
        <v>1</v>
      </c>
      <c r="M195" s="81">
        <v>69729</v>
      </c>
      <c r="N195" s="81" t="s">
        <v>71</v>
      </c>
      <c r="O195" s="81" t="s">
        <v>161</v>
      </c>
      <c r="P195" s="91">
        <v>0</v>
      </c>
      <c r="Q195" s="81"/>
      <c r="R195" s="91">
        <v>0</v>
      </c>
      <c r="S195" s="89">
        <v>46082</v>
      </c>
      <c r="T195" s="91">
        <v>0</v>
      </c>
      <c r="U195" s="90">
        <v>4</v>
      </c>
      <c r="V195" s="91">
        <v>0</v>
      </c>
      <c r="W195" s="81" t="s">
        <v>85</v>
      </c>
      <c r="X195" s="81" t="s">
        <v>76</v>
      </c>
      <c r="Y195" s="81" t="s">
        <v>6</v>
      </c>
      <c r="Z195" s="81" t="s">
        <v>57</v>
      </c>
      <c r="AA195" s="81" t="s">
        <v>32</v>
      </c>
      <c r="AB195" s="90" t="s">
        <v>162</v>
      </c>
      <c r="AC195" s="81" t="s">
        <v>65</v>
      </c>
    </row>
    <row r="196" spans="1:29">
      <c r="A196" s="81" t="s">
        <v>93</v>
      </c>
      <c r="B196" s="84">
        <v>46104</v>
      </c>
      <c r="C196" s="83">
        <v>46104</v>
      </c>
      <c r="D196" s="85" t="s">
        <v>160</v>
      </c>
      <c r="E196" s="86">
        <v>0.45833333333333331</v>
      </c>
      <c r="F196" s="86">
        <v>0.54166666666666663</v>
      </c>
      <c r="G196" s="86">
        <v>3.4722222222222218E-4</v>
      </c>
      <c r="H196" s="81" t="s">
        <v>180</v>
      </c>
      <c r="I196" s="87" t="s">
        <v>135</v>
      </c>
      <c r="J196" s="81" t="s">
        <v>136</v>
      </c>
      <c r="K196" s="81"/>
      <c r="L196" s="81">
        <v>1</v>
      </c>
      <c r="M196" s="81">
        <v>69729</v>
      </c>
      <c r="N196" s="81" t="s">
        <v>71</v>
      </c>
      <c r="O196" s="81" t="s">
        <v>161</v>
      </c>
      <c r="P196" s="91">
        <v>0</v>
      </c>
      <c r="Q196" s="81"/>
      <c r="R196" s="91">
        <v>0</v>
      </c>
      <c r="S196" s="89">
        <v>46082</v>
      </c>
      <c r="T196" s="91">
        <v>0</v>
      </c>
      <c r="U196" s="90">
        <v>4</v>
      </c>
      <c r="V196" s="91">
        <v>0</v>
      </c>
      <c r="W196" s="81" t="s">
        <v>85</v>
      </c>
      <c r="X196" s="81" t="s">
        <v>76</v>
      </c>
      <c r="Y196" s="81" t="s">
        <v>6</v>
      </c>
      <c r="Z196" s="81" t="s">
        <v>57</v>
      </c>
      <c r="AA196" s="81" t="s">
        <v>32</v>
      </c>
      <c r="AB196" s="90" t="s">
        <v>162</v>
      </c>
      <c r="AC196" s="81" t="s">
        <v>65</v>
      </c>
    </row>
    <row r="197" spans="1:29">
      <c r="A197" s="81" t="s">
        <v>93</v>
      </c>
      <c r="B197" s="84">
        <v>46101</v>
      </c>
      <c r="C197" s="83">
        <v>46101</v>
      </c>
      <c r="D197" s="85" t="s">
        <v>166</v>
      </c>
      <c r="E197" s="86">
        <v>0.45833333333333331</v>
      </c>
      <c r="F197" s="86">
        <v>0.54166666666666663</v>
      </c>
      <c r="G197" s="86">
        <v>3.4722222222222218E-4</v>
      </c>
      <c r="H197" s="81" t="s">
        <v>180</v>
      </c>
      <c r="I197" s="87" t="s">
        <v>137</v>
      </c>
      <c r="J197" s="81" t="s">
        <v>136</v>
      </c>
      <c r="K197" s="81"/>
      <c r="L197" s="81">
        <v>1</v>
      </c>
      <c r="M197" s="81">
        <v>69729</v>
      </c>
      <c r="N197" s="81" t="s">
        <v>71</v>
      </c>
      <c r="O197" s="81" t="s">
        <v>161</v>
      </c>
      <c r="P197" s="91">
        <v>0</v>
      </c>
      <c r="Q197" s="81"/>
      <c r="R197" s="91">
        <v>0</v>
      </c>
      <c r="S197" s="89">
        <v>46082</v>
      </c>
      <c r="T197" s="91">
        <v>0</v>
      </c>
      <c r="U197" s="90">
        <v>4</v>
      </c>
      <c r="V197" s="91">
        <v>0</v>
      </c>
      <c r="W197" s="81" t="s">
        <v>85</v>
      </c>
      <c r="X197" s="81" t="s">
        <v>76</v>
      </c>
      <c r="Y197" s="81" t="s">
        <v>6</v>
      </c>
      <c r="Z197" s="81" t="s">
        <v>57</v>
      </c>
      <c r="AA197" s="81" t="s">
        <v>32</v>
      </c>
      <c r="AB197" s="90" t="s">
        <v>162</v>
      </c>
      <c r="AC197" s="81" t="s">
        <v>65</v>
      </c>
    </row>
    <row r="198" spans="1:29">
      <c r="A198" s="81" t="s">
        <v>93</v>
      </c>
      <c r="B198" s="84">
        <v>46099</v>
      </c>
      <c r="C198" s="83">
        <v>46099</v>
      </c>
      <c r="D198" s="85" t="s">
        <v>164</v>
      </c>
      <c r="E198" s="86">
        <v>0.45833333333333331</v>
      </c>
      <c r="F198" s="86">
        <v>0.54166666666666663</v>
      </c>
      <c r="G198" s="86">
        <v>3.4722222222222218E-4</v>
      </c>
      <c r="H198" s="81" t="s">
        <v>180</v>
      </c>
      <c r="I198" s="87" t="s">
        <v>142</v>
      </c>
      <c r="J198" s="81" t="s">
        <v>136</v>
      </c>
      <c r="K198" s="81"/>
      <c r="L198" s="81">
        <v>1</v>
      </c>
      <c r="M198" s="81">
        <v>69729</v>
      </c>
      <c r="N198" s="81" t="s">
        <v>71</v>
      </c>
      <c r="O198" s="81" t="s">
        <v>161</v>
      </c>
      <c r="P198" s="91">
        <v>0</v>
      </c>
      <c r="Q198" s="81"/>
      <c r="R198" s="91">
        <v>0</v>
      </c>
      <c r="S198" s="89">
        <v>46082</v>
      </c>
      <c r="T198" s="91">
        <v>0</v>
      </c>
      <c r="U198" s="90">
        <v>4</v>
      </c>
      <c r="V198" s="91">
        <v>0</v>
      </c>
      <c r="W198" s="81" t="s">
        <v>85</v>
      </c>
      <c r="X198" s="81" t="s">
        <v>76</v>
      </c>
      <c r="Y198" s="81" t="s">
        <v>6</v>
      </c>
      <c r="Z198" s="81" t="s">
        <v>57</v>
      </c>
      <c r="AA198" s="81" t="s">
        <v>32</v>
      </c>
      <c r="AB198" s="90" t="s">
        <v>162</v>
      </c>
      <c r="AC198" s="81" t="s">
        <v>65</v>
      </c>
    </row>
    <row r="199" spans="1:29">
      <c r="A199" s="81" t="s">
        <v>93</v>
      </c>
      <c r="B199" s="84">
        <v>46105</v>
      </c>
      <c r="C199" s="83">
        <v>46105</v>
      </c>
      <c r="D199" s="85" t="s">
        <v>163</v>
      </c>
      <c r="E199" s="86">
        <v>0.45833333333333331</v>
      </c>
      <c r="F199" s="86">
        <v>0.54166666666666663</v>
      </c>
      <c r="G199" s="86">
        <v>3.4722222222222218E-4</v>
      </c>
      <c r="H199" s="81" t="s">
        <v>180</v>
      </c>
      <c r="I199" s="87" t="s">
        <v>143</v>
      </c>
      <c r="J199" s="81" t="s">
        <v>136</v>
      </c>
      <c r="K199" s="81"/>
      <c r="L199" s="81">
        <v>1</v>
      </c>
      <c r="M199" s="81">
        <v>69729</v>
      </c>
      <c r="N199" s="81" t="s">
        <v>71</v>
      </c>
      <c r="O199" s="81" t="s">
        <v>161</v>
      </c>
      <c r="P199" s="91">
        <v>0</v>
      </c>
      <c r="Q199" s="81"/>
      <c r="R199" s="91">
        <v>0</v>
      </c>
      <c r="S199" s="89">
        <v>46082</v>
      </c>
      <c r="T199" s="91">
        <v>0</v>
      </c>
      <c r="U199" s="90">
        <v>4</v>
      </c>
      <c r="V199" s="91">
        <v>0</v>
      </c>
      <c r="W199" s="81" t="s">
        <v>85</v>
      </c>
      <c r="X199" s="81" t="s">
        <v>76</v>
      </c>
      <c r="Y199" s="81" t="s">
        <v>6</v>
      </c>
      <c r="Z199" s="81" t="s">
        <v>57</v>
      </c>
      <c r="AA199" s="81" t="s">
        <v>32</v>
      </c>
      <c r="AB199" s="90" t="s">
        <v>162</v>
      </c>
      <c r="AC199" s="81" t="s">
        <v>65</v>
      </c>
    </row>
    <row r="200" spans="1:29">
      <c r="A200" s="81" t="s">
        <v>93</v>
      </c>
      <c r="B200" s="84">
        <v>46091</v>
      </c>
      <c r="C200" s="83">
        <v>46091</v>
      </c>
      <c r="D200" s="85" t="s">
        <v>163</v>
      </c>
      <c r="E200" s="86">
        <v>0.45833333333333331</v>
      </c>
      <c r="F200" s="86">
        <v>0.54166666666666663</v>
      </c>
      <c r="G200" s="86">
        <v>3.4722222222222218E-4</v>
      </c>
      <c r="H200" s="81" t="s">
        <v>180</v>
      </c>
      <c r="I200" s="87" t="s">
        <v>144</v>
      </c>
      <c r="J200" s="81" t="s">
        <v>136</v>
      </c>
      <c r="K200" s="81"/>
      <c r="L200" s="81">
        <v>1</v>
      </c>
      <c r="M200" s="81">
        <v>69729</v>
      </c>
      <c r="N200" s="81" t="s">
        <v>71</v>
      </c>
      <c r="O200" s="81" t="s">
        <v>161</v>
      </c>
      <c r="P200" s="91">
        <v>0</v>
      </c>
      <c r="Q200" s="81"/>
      <c r="R200" s="91">
        <v>0</v>
      </c>
      <c r="S200" s="89">
        <v>46082</v>
      </c>
      <c r="T200" s="91">
        <v>0</v>
      </c>
      <c r="U200" s="90">
        <v>4</v>
      </c>
      <c r="V200" s="91">
        <v>0</v>
      </c>
      <c r="W200" s="81" t="s">
        <v>85</v>
      </c>
      <c r="X200" s="81" t="s">
        <v>76</v>
      </c>
      <c r="Y200" s="81" t="s">
        <v>6</v>
      </c>
      <c r="Z200" s="81" t="s">
        <v>57</v>
      </c>
      <c r="AA200" s="81" t="s">
        <v>32</v>
      </c>
      <c r="AB200" s="90" t="s">
        <v>162</v>
      </c>
      <c r="AC200" s="81" t="s">
        <v>65</v>
      </c>
    </row>
    <row r="201" spans="1:29">
      <c r="A201" s="81" t="s">
        <v>93</v>
      </c>
      <c r="B201" s="84">
        <v>46090</v>
      </c>
      <c r="C201" s="83">
        <v>46090</v>
      </c>
      <c r="D201" s="85" t="s">
        <v>160</v>
      </c>
      <c r="E201" s="86">
        <v>0.45833333333333331</v>
      </c>
      <c r="F201" s="86">
        <v>0.54166666666666663</v>
      </c>
      <c r="G201" s="86">
        <v>3.4722222222222218E-4</v>
      </c>
      <c r="H201" s="81" t="s">
        <v>180</v>
      </c>
      <c r="I201" s="87" t="s">
        <v>146</v>
      </c>
      <c r="J201" s="81" t="s">
        <v>136</v>
      </c>
      <c r="K201" s="81"/>
      <c r="L201" s="81">
        <v>1</v>
      </c>
      <c r="M201" s="81">
        <v>69729</v>
      </c>
      <c r="N201" s="81" t="s">
        <v>71</v>
      </c>
      <c r="O201" s="81" t="s">
        <v>161</v>
      </c>
      <c r="P201" s="91">
        <v>0</v>
      </c>
      <c r="Q201" s="81"/>
      <c r="R201" s="91">
        <v>0</v>
      </c>
      <c r="S201" s="89">
        <v>46082</v>
      </c>
      <c r="T201" s="91">
        <v>0</v>
      </c>
      <c r="U201" s="90">
        <v>4</v>
      </c>
      <c r="V201" s="91">
        <v>0</v>
      </c>
      <c r="W201" s="81" t="s">
        <v>85</v>
      </c>
      <c r="X201" s="81" t="s">
        <v>76</v>
      </c>
      <c r="Y201" s="81" t="s">
        <v>6</v>
      </c>
      <c r="Z201" s="81" t="s">
        <v>57</v>
      </c>
      <c r="AA201" s="81" t="s">
        <v>32</v>
      </c>
      <c r="AB201" s="90" t="s">
        <v>162</v>
      </c>
      <c r="AC201" s="81" t="s">
        <v>65</v>
      </c>
    </row>
    <row r="202" spans="1:29">
      <c r="A202" s="81" t="s">
        <v>93</v>
      </c>
      <c r="B202" s="84">
        <v>46098</v>
      </c>
      <c r="C202" s="83">
        <v>46098</v>
      </c>
      <c r="D202" s="85" t="s">
        <v>163</v>
      </c>
      <c r="E202" s="86">
        <v>0.45833333333333331</v>
      </c>
      <c r="F202" s="86">
        <v>0.54166666666666663</v>
      </c>
      <c r="G202" s="86">
        <v>3.4722222222222218E-4</v>
      </c>
      <c r="H202" s="81" t="s">
        <v>180</v>
      </c>
      <c r="I202" s="87" t="s">
        <v>146</v>
      </c>
      <c r="J202" s="81" t="s">
        <v>136</v>
      </c>
      <c r="K202" s="81"/>
      <c r="L202" s="81">
        <v>1</v>
      </c>
      <c r="M202" s="81">
        <v>69729</v>
      </c>
      <c r="N202" s="81" t="s">
        <v>71</v>
      </c>
      <c r="O202" s="81" t="s">
        <v>161</v>
      </c>
      <c r="P202" s="91">
        <v>0</v>
      </c>
      <c r="Q202" s="81"/>
      <c r="R202" s="91">
        <v>0</v>
      </c>
      <c r="S202" s="89">
        <v>46082</v>
      </c>
      <c r="T202" s="91">
        <v>0</v>
      </c>
      <c r="U202" s="90">
        <v>4</v>
      </c>
      <c r="V202" s="91">
        <v>0</v>
      </c>
      <c r="W202" s="81" t="s">
        <v>85</v>
      </c>
      <c r="X202" s="81" t="s">
        <v>76</v>
      </c>
      <c r="Y202" s="81" t="s">
        <v>6</v>
      </c>
      <c r="Z202" s="81" t="s">
        <v>57</v>
      </c>
      <c r="AA202" s="81" t="s">
        <v>32</v>
      </c>
      <c r="AB202" s="90" t="s">
        <v>162</v>
      </c>
      <c r="AC202" s="81" t="s">
        <v>65</v>
      </c>
    </row>
    <row r="203" spans="1:29">
      <c r="A203" s="81" t="s">
        <v>93</v>
      </c>
      <c r="B203" s="84">
        <v>46107</v>
      </c>
      <c r="C203" s="83">
        <v>46107</v>
      </c>
      <c r="D203" s="85" t="s">
        <v>165</v>
      </c>
      <c r="E203" s="86">
        <v>0.45833333333333331</v>
      </c>
      <c r="F203" s="86">
        <v>0.54166666666666663</v>
      </c>
      <c r="G203" s="86">
        <v>3.4722222222222218E-4</v>
      </c>
      <c r="H203" s="81" t="s">
        <v>180</v>
      </c>
      <c r="I203" s="87" t="s">
        <v>148</v>
      </c>
      <c r="J203" s="81" t="s">
        <v>136</v>
      </c>
      <c r="K203" s="81"/>
      <c r="L203" s="81">
        <v>1</v>
      </c>
      <c r="M203" s="81">
        <v>69729</v>
      </c>
      <c r="N203" s="81" t="s">
        <v>71</v>
      </c>
      <c r="O203" s="81" t="s">
        <v>161</v>
      </c>
      <c r="P203" s="91">
        <v>0</v>
      </c>
      <c r="Q203" s="81"/>
      <c r="R203" s="91">
        <v>0</v>
      </c>
      <c r="S203" s="89">
        <v>46082</v>
      </c>
      <c r="T203" s="91">
        <v>0</v>
      </c>
      <c r="U203" s="90">
        <v>4</v>
      </c>
      <c r="V203" s="91">
        <v>0</v>
      </c>
      <c r="W203" s="81" t="s">
        <v>85</v>
      </c>
      <c r="X203" s="81" t="s">
        <v>76</v>
      </c>
      <c r="Y203" s="81" t="s">
        <v>6</v>
      </c>
      <c r="Z203" s="81" t="s">
        <v>57</v>
      </c>
      <c r="AA203" s="81" t="s">
        <v>32</v>
      </c>
      <c r="AB203" s="90" t="s">
        <v>162</v>
      </c>
      <c r="AC203" s="81" t="s">
        <v>65</v>
      </c>
    </row>
    <row r="204" spans="1:29">
      <c r="A204" s="81" t="s">
        <v>93</v>
      </c>
      <c r="B204" s="84">
        <v>46094</v>
      </c>
      <c r="C204" s="83">
        <v>46094</v>
      </c>
      <c r="D204" s="85" t="s">
        <v>166</v>
      </c>
      <c r="E204" s="86">
        <v>0.45833333333333331</v>
      </c>
      <c r="F204" s="86">
        <v>0.54166666666666663</v>
      </c>
      <c r="G204" s="86">
        <v>3.4722222222222218E-4</v>
      </c>
      <c r="H204" s="81" t="s">
        <v>180</v>
      </c>
      <c r="I204" s="87" t="s">
        <v>149</v>
      </c>
      <c r="J204" s="81" t="s">
        <v>136</v>
      </c>
      <c r="K204" s="81"/>
      <c r="L204" s="81">
        <v>1</v>
      </c>
      <c r="M204" s="81">
        <v>69729</v>
      </c>
      <c r="N204" s="81" t="s">
        <v>71</v>
      </c>
      <c r="O204" s="81" t="s">
        <v>161</v>
      </c>
      <c r="P204" s="91">
        <v>0</v>
      </c>
      <c r="Q204" s="81"/>
      <c r="R204" s="91">
        <v>0</v>
      </c>
      <c r="S204" s="89">
        <v>46082</v>
      </c>
      <c r="T204" s="91">
        <v>0</v>
      </c>
      <c r="U204" s="90">
        <v>4</v>
      </c>
      <c r="V204" s="91">
        <v>0</v>
      </c>
      <c r="W204" s="81" t="s">
        <v>85</v>
      </c>
      <c r="X204" s="81" t="s">
        <v>76</v>
      </c>
      <c r="Y204" s="81" t="s">
        <v>6</v>
      </c>
      <c r="Z204" s="81" t="s">
        <v>57</v>
      </c>
      <c r="AA204" s="81" t="s">
        <v>32</v>
      </c>
      <c r="AB204" s="90" t="s">
        <v>162</v>
      </c>
      <c r="AC204" s="81" t="s">
        <v>65</v>
      </c>
    </row>
    <row r="205" spans="1:29">
      <c r="A205" s="81" t="s">
        <v>93</v>
      </c>
      <c r="B205" s="84">
        <v>46106</v>
      </c>
      <c r="C205" s="83">
        <v>46106</v>
      </c>
      <c r="D205" s="85" t="s">
        <v>164</v>
      </c>
      <c r="E205" s="86">
        <v>0.45833333333333331</v>
      </c>
      <c r="F205" s="86">
        <v>0.54166666666666663</v>
      </c>
      <c r="G205" s="86">
        <v>3.4722222222222218E-4</v>
      </c>
      <c r="H205" s="81" t="s">
        <v>180</v>
      </c>
      <c r="I205" s="87" t="s">
        <v>149</v>
      </c>
      <c r="J205" s="81" t="s">
        <v>136</v>
      </c>
      <c r="K205" s="81"/>
      <c r="L205" s="81">
        <v>1</v>
      </c>
      <c r="M205" s="81">
        <v>69729</v>
      </c>
      <c r="N205" s="81" t="s">
        <v>71</v>
      </c>
      <c r="O205" s="81" t="s">
        <v>161</v>
      </c>
      <c r="P205" s="91">
        <v>0</v>
      </c>
      <c r="Q205" s="81"/>
      <c r="R205" s="91">
        <v>0</v>
      </c>
      <c r="S205" s="89">
        <v>46082</v>
      </c>
      <c r="T205" s="91">
        <v>0</v>
      </c>
      <c r="U205" s="90">
        <v>4</v>
      </c>
      <c r="V205" s="91">
        <v>0</v>
      </c>
      <c r="W205" s="81" t="s">
        <v>85</v>
      </c>
      <c r="X205" s="81" t="s">
        <v>76</v>
      </c>
      <c r="Y205" s="81" t="s">
        <v>6</v>
      </c>
      <c r="Z205" s="81" t="s">
        <v>57</v>
      </c>
      <c r="AA205" s="81" t="s">
        <v>32</v>
      </c>
      <c r="AB205" s="90" t="s">
        <v>162</v>
      </c>
      <c r="AC205" s="81" t="s">
        <v>65</v>
      </c>
    </row>
    <row r="206" spans="1:29">
      <c r="A206" s="81" t="s">
        <v>93</v>
      </c>
      <c r="B206" s="84">
        <v>46099</v>
      </c>
      <c r="C206" s="83">
        <v>46099</v>
      </c>
      <c r="D206" s="85" t="s">
        <v>164</v>
      </c>
      <c r="E206" s="86">
        <v>0.45833333333333331</v>
      </c>
      <c r="F206" s="86">
        <v>0.54166666666666663</v>
      </c>
      <c r="G206" s="86">
        <v>3.4722222222222218E-4</v>
      </c>
      <c r="H206" s="81" t="s">
        <v>180</v>
      </c>
      <c r="I206" s="87" t="s">
        <v>135</v>
      </c>
      <c r="J206" s="81" t="s">
        <v>136</v>
      </c>
      <c r="K206" s="81"/>
      <c r="L206" s="81">
        <v>1</v>
      </c>
      <c r="M206" s="81">
        <v>69730</v>
      </c>
      <c r="N206" s="81" t="s">
        <v>33</v>
      </c>
      <c r="O206" s="81" t="s">
        <v>161</v>
      </c>
      <c r="P206" s="91">
        <v>46</v>
      </c>
      <c r="Q206" s="81"/>
      <c r="R206" s="91">
        <v>46</v>
      </c>
      <c r="S206" s="89">
        <v>46082</v>
      </c>
      <c r="T206" s="91">
        <v>6.8999999999999995</v>
      </c>
      <c r="U206" s="90">
        <v>4</v>
      </c>
      <c r="V206" s="91">
        <v>39.1</v>
      </c>
      <c r="W206" s="81" t="s">
        <v>85</v>
      </c>
      <c r="X206" s="81" t="s">
        <v>76</v>
      </c>
      <c r="Y206" s="81" t="s">
        <v>6</v>
      </c>
      <c r="Z206" s="81" t="s">
        <v>57</v>
      </c>
      <c r="AA206" s="81" t="s">
        <v>32</v>
      </c>
      <c r="AB206" s="90" t="s">
        <v>162</v>
      </c>
      <c r="AC206" s="81" t="s">
        <v>65</v>
      </c>
    </row>
    <row r="207" spans="1:29">
      <c r="A207" s="81" t="s">
        <v>93</v>
      </c>
      <c r="B207" s="84">
        <v>46105</v>
      </c>
      <c r="C207" s="83">
        <v>46105</v>
      </c>
      <c r="D207" s="85" t="s">
        <v>163</v>
      </c>
      <c r="E207" s="86">
        <v>0.45833333333333331</v>
      </c>
      <c r="F207" s="86">
        <v>0.54166666666666663</v>
      </c>
      <c r="G207" s="86">
        <v>3.4722222222222218E-4</v>
      </c>
      <c r="H207" s="81" t="s">
        <v>180</v>
      </c>
      <c r="I207" s="87" t="s">
        <v>135</v>
      </c>
      <c r="J207" s="81" t="s">
        <v>136</v>
      </c>
      <c r="K207" s="81"/>
      <c r="L207" s="81">
        <v>1</v>
      </c>
      <c r="M207" s="81">
        <v>69730</v>
      </c>
      <c r="N207" s="81" t="s">
        <v>33</v>
      </c>
      <c r="O207" s="81" t="s">
        <v>161</v>
      </c>
      <c r="P207" s="91">
        <v>46</v>
      </c>
      <c r="Q207" s="81"/>
      <c r="R207" s="91">
        <v>46</v>
      </c>
      <c r="S207" s="89">
        <v>46082</v>
      </c>
      <c r="T207" s="91">
        <v>6.8999999999999995</v>
      </c>
      <c r="U207" s="90">
        <v>4</v>
      </c>
      <c r="V207" s="91">
        <v>39.1</v>
      </c>
      <c r="W207" s="81" t="s">
        <v>85</v>
      </c>
      <c r="X207" s="81" t="s">
        <v>76</v>
      </c>
      <c r="Y207" s="81" t="s">
        <v>6</v>
      </c>
      <c r="Z207" s="81" t="s">
        <v>57</v>
      </c>
      <c r="AA207" s="81" t="s">
        <v>32</v>
      </c>
      <c r="AB207" s="90" t="s">
        <v>162</v>
      </c>
      <c r="AC207" s="81" t="s">
        <v>65</v>
      </c>
    </row>
    <row r="208" spans="1:29">
      <c r="A208" s="81" t="s">
        <v>93</v>
      </c>
      <c r="B208" s="84">
        <v>46107</v>
      </c>
      <c r="C208" s="83">
        <v>46107</v>
      </c>
      <c r="D208" s="85" t="s">
        <v>165</v>
      </c>
      <c r="E208" s="86">
        <v>0.45833333333333331</v>
      </c>
      <c r="F208" s="86">
        <v>0.54166666666666663</v>
      </c>
      <c r="G208" s="86">
        <v>3.4722222222222218E-4</v>
      </c>
      <c r="H208" s="81" t="s">
        <v>180</v>
      </c>
      <c r="I208" s="87" t="s">
        <v>135</v>
      </c>
      <c r="J208" s="81" t="s">
        <v>136</v>
      </c>
      <c r="K208" s="81"/>
      <c r="L208" s="81">
        <v>1</v>
      </c>
      <c r="M208" s="81">
        <v>69730</v>
      </c>
      <c r="N208" s="81" t="s">
        <v>33</v>
      </c>
      <c r="O208" s="81" t="s">
        <v>161</v>
      </c>
      <c r="P208" s="91">
        <v>46</v>
      </c>
      <c r="Q208" s="81"/>
      <c r="R208" s="91">
        <v>46</v>
      </c>
      <c r="S208" s="89">
        <v>46082</v>
      </c>
      <c r="T208" s="91">
        <v>6.8999999999999995</v>
      </c>
      <c r="U208" s="90">
        <v>4</v>
      </c>
      <c r="V208" s="91">
        <v>39.1</v>
      </c>
      <c r="W208" s="81" t="s">
        <v>85</v>
      </c>
      <c r="X208" s="81" t="s">
        <v>76</v>
      </c>
      <c r="Y208" s="81" t="s">
        <v>6</v>
      </c>
      <c r="Z208" s="81" t="s">
        <v>57</v>
      </c>
      <c r="AA208" s="81" t="s">
        <v>32</v>
      </c>
      <c r="AB208" s="90" t="s">
        <v>162</v>
      </c>
      <c r="AC208" s="81" t="s">
        <v>65</v>
      </c>
    </row>
    <row r="209" spans="1:29">
      <c r="A209" s="81" t="s">
        <v>93</v>
      </c>
      <c r="B209" s="84">
        <v>46100</v>
      </c>
      <c r="C209" s="83">
        <v>46100</v>
      </c>
      <c r="D209" s="85" t="s">
        <v>165</v>
      </c>
      <c r="E209" s="86">
        <v>0.45833333333333331</v>
      </c>
      <c r="F209" s="86">
        <v>0.54166666666666663</v>
      </c>
      <c r="G209" s="86">
        <v>3.4722222222222218E-4</v>
      </c>
      <c r="H209" s="81" t="s">
        <v>180</v>
      </c>
      <c r="I209" s="87" t="s">
        <v>137</v>
      </c>
      <c r="J209" s="81" t="s">
        <v>136</v>
      </c>
      <c r="K209" s="81"/>
      <c r="L209" s="81">
        <v>1</v>
      </c>
      <c r="M209" s="81">
        <v>69730</v>
      </c>
      <c r="N209" s="81" t="s">
        <v>33</v>
      </c>
      <c r="O209" s="81" t="s">
        <v>161</v>
      </c>
      <c r="P209" s="91">
        <v>46</v>
      </c>
      <c r="Q209" s="81"/>
      <c r="R209" s="91">
        <v>46</v>
      </c>
      <c r="S209" s="89">
        <v>46082</v>
      </c>
      <c r="T209" s="91">
        <v>6.8999999999999995</v>
      </c>
      <c r="U209" s="90">
        <v>4</v>
      </c>
      <c r="V209" s="91">
        <v>39.1</v>
      </c>
      <c r="W209" s="81" t="s">
        <v>85</v>
      </c>
      <c r="X209" s="81" t="s">
        <v>76</v>
      </c>
      <c r="Y209" s="81" t="s">
        <v>6</v>
      </c>
      <c r="Z209" s="81" t="s">
        <v>57</v>
      </c>
      <c r="AA209" s="81" t="s">
        <v>32</v>
      </c>
      <c r="AB209" s="90" t="s">
        <v>162</v>
      </c>
      <c r="AC209" s="81" t="s">
        <v>65</v>
      </c>
    </row>
    <row r="210" spans="1:29">
      <c r="A210" s="81" t="s">
        <v>93</v>
      </c>
      <c r="B210" s="84">
        <v>46093</v>
      </c>
      <c r="C210" s="83">
        <v>46093</v>
      </c>
      <c r="D210" s="85" t="s">
        <v>165</v>
      </c>
      <c r="E210" s="86">
        <v>0.45833333333333331</v>
      </c>
      <c r="F210" s="86">
        <v>0.54166666666666663</v>
      </c>
      <c r="G210" s="86">
        <v>3.4722222222222218E-4</v>
      </c>
      <c r="H210" s="81" t="s">
        <v>180</v>
      </c>
      <c r="I210" s="87" t="s">
        <v>138</v>
      </c>
      <c r="J210" s="81" t="s">
        <v>136</v>
      </c>
      <c r="K210" s="81"/>
      <c r="L210" s="81">
        <v>1</v>
      </c>
      <c r="M210" s="81">
        <v>69730</v>
      </c>
      <c r="N210" s="81" t="s">
        <v>33</v>
      </c>
      <c r="O210" s="81" t="s">
        <v>161</v>
      </c>
      <c r="P210" s="91">
        <v>46</v>
      </c>
      <c r="Q210" s="81"/>
      <c r="R210" s="91">
        <v>46</v>
      </c>
      <c r="S210" s="89">
        <v>46082</v>
      </c>
      <c r="T210" s="91">
        <v>6.8999999999999995</v>
      </c>
      <c r="U210" s="90">
        <v>4</v>
      </c>
      <c r="V210" s="91">
        <v>39.1</v>
      </c>
      <c r="W210" s="81" t="s">
        <v>85</v>
      </c>
      <c r="X210" s="81" t="s">
        <v>76</v>
      </c>
      <c r="Y210" s="81" t="s">
        <v>6</v>
      </c>
      <c r="Z210" s="81" t="s">
        <v>57</v>
      </c>
      <c r="AA210" s="81" t="s">
        <v>32</v>
      </c>
      <c r="AB210" s="90" t="s">
        <v>162</v>
      </c>
      <c r="AC210" s="81" t="s">
        <v>65</v>
      </c>
    </row>
    <row r="211" spans="1:29">
      <c r="A211" s="81" t="s">
        <v>93</v>
      </c>
      <c r="B211" s="84">
        <v>46097</v>
      </c>
      <c r="C211" s="83">
        <v>46097</v>
      </c>
      <c r="D211" s="85" t="s">
        <v>160</v>
      </c>
      <c r="E211" s="86">
        <v>0.45833333333333331</v>
      </c>
      <c r="F211" s="86">
        <v>0.54166666666666663</v>
      </c>
      <c r="G211" s="86">
        <v>3.4722222222222218E-4</v>
      </c>
      <c r="H211" s="81" t="s">
        <v>180</v>
      </c>
      <c r="I211" s="87" t="s">
        <v>139</v>
      </c>
      <c r="J211" s="81" t="s">
        <v>136</v>
      </c>
      <c r="K211" s="81"/>
      <c r="L211" s="81">
        <v>1</v>
      </c>
      <c r="M211" s="81">
        <v>69730</v>
      </c>
      <c r="N211" s="81" t="s">
        <v>33</v>
      </c>
      <c r="O211" s="81" t="s">
        <v>161</v>
      </c>
      <c r="P211" s="91">
        <v>46</v>
      </c>
      <c r="Q211" s="81"/>
      <c r="R211" s="91">
        <v>46</v>
      </c>
      <c r="S211" s="89">
        <v>46082</v>
      </c>
      <c r="T211" s="91">
        <v>6.8999999999999995</v>
      </c>
      <c r="U211" s="90">
        <v>4</v>
      </c>
      <c r="V211" s="91">
        <v>39.1</v>
      </c>
      <c r="W211" s="81" t="s">
        <v>85</v>
      </c>
      <c r="X211" s="81" t="s">
        <v>76</v>
      </c>
      <c r="Y211" s="81" t="s">
        <v>6</v>
      </c>
      <c r="Z211" s="81" t="s">
        <v>57</v>
      </c>
      <c r="AA211" s="81" t="s">
        <v>32</v>
      </c>
      <c r="AB211" s="90" t="s">
        <v>162</v>
      </c>
      <c r="AC211" s="81" t="s">
        <v>65</v>
      </c>
    </row>
    <row r="212" spans="1:29">
      <c r="A212" s="81" t="s">
        <v>93</v>
      </c>
      <c r="B212" s="84">
        <v>46091</v>
      </c>
      <c r="C212" s="83">
        <v>46091</v>
      </c>
      <c r="D212" s="85" t="s">
        <v>163</v>
      </c>
      <c r="E212" s="86">
        <v>0.45833333333333331</v>
      </c>
      <c r="F212" s="86">
        <v>0.54166666666666663</v>
      </c>
      <c r="G212" s="86">
        <v>3.4722222222222218E-4</v>
      </c>
      <c r="H212" s="81" t="s">
        <v>180</v>
      </c>
      <c r="I212" s="87" t="s">
        <v>140</v>
      </c>
      <c r="J212" s="81" t="s">
        <v>136</v>
      </c>
      <c r="K212" s="81"/>
      <c r="L212" s="81">
        <v>1</v>
      </c>
      <c r="M212" s="81">
        <v>69730</v>
      </c>
      <c r="N212" s="81" t="s">
        <v>33</v>
      </c>
      <c r="O212" s="81" t="s">
        <v>161</v>
      </c>
      <c r="P212" s="91">
        <v>46</v>
      </c>
      <c r="Q212" s="81"/>
      <c r="R212" s="91">
        <v>46</v>
      </c>
      <c r="S212" s="89">
        <v>46082</v>
      </c>
      <c r="T212" s="91">
        <v>6.8999999999999995</v>
      </c>
      <c r="U212" s="90">
        <v>4</v>
      </c>
      <c r="V212" s="91">
        <v>39.1</v>
      </c>
      <c r="W212" s="81" t="s">
        <v>85</v>
      </c>
      <c r="X212" s="81" t="s">
        <v>76</v>
      </c>
      <c r="Y212" s="81" t="s">
        <v>6</v>
      </c>
      <c r="Z212" s="81" t="s">
        <v>57</v>
      </c>
      <c r="AA212" s="81" t="s">
        <v>32</v>
      </c>
      <c r="AB212" s="90" t="s">
        <v>162</v>
      </c>
      <c r="AC212" s="81" t="s">
        <v>65</v>
      </c>
    </row>
    <row r="213" spans="1:29">
      <c r="A213" s="81" t="s">
        <v>93</v>
      </c>
      <c r="B213" s="84">
        <v>46098</v>
      </c>
      <c r="C213" s="83">
        <v>46098</v>
      </c>
      <c r="D213" s="85" t="s">
        <v>163</v>
      </c>
      <c r="E213" s="86">
        <v>0.45833333333333331</v>
      </c>
      <c r="F213" s="86">
        <v>0.54166666666666663</v>
      </c>
      <c r="G213" s="86">
        <v>3.4722222222222218E-4</v>
      </c>
      <c r="H213" s="81" t="s">
        <v>180</v>
      </c>
      <c r="I213" s="87" t="s">
        <v>140</v>
      </c>
      <c r="J213" s="81" t="s">
        <v>136</v>
      </c>
      <c r="K213" s="81"/>
      <c r="L213" s="81">
        <v>1</v>
      </c>
      <c r="M213" s="81">
        <v>69730</v>
      </c>
      <c r="N213" s="81" t="s">
        <v>33</v>
      </c>
      <c r="O213" s="81" t="s">
        <v>161</v>
      </c>
      <c r="P213" s="91">
        <v>46</v>
      </c>
      <c r="Q213" s="81"/>
      <c r="R213" s="91">
        <v>46</v>
      </c>
      <c r="S213" s="89">
        <v>46082</v>
      </c>
      <c r="T213" s="91">
        <v>6.8999999999999995</v>
      </c>
      <c r="U213" s="90">
        <v>4</v>
      </c>
      <c r="V213" s="91">
        <v>39.1</v>
      </c>
      <c r="W213" s="81" t="s">
        <v>85</v>
      </c>
      <c r="X213" s="81" t="s">
        <v>76</v>
      </c>
      <c r="Y213" s="81" t="s">
        <v>6</v>
      </c>
      <c r="Z213" s="81" t="s">
        <v>57</v>
      </c>
      <c r="AA213" s="81" t="s">
        <v>32</v>
      </c>
      <c r="AB213" s="90" t="s">
        <v>162</v>
      </c>
      <c r="AC213" s="81" t="s">
        <v>65</v>
      </c>
    </row>
    <row r="214" spans="1:29">
      <c r="A214" s="81" t="s">
        <v>93</v>
      </c>
      <c r="B214" s="84">
        <v>46094</v>
      </c>
      <c r="C214" s="83">
        <v>46094</v>
      </c>
      <c r="D214" s="85" t="s">
        <v>166</v>
      </c>
      <c r="E214" s="86">
        <v>0.45833333333333331</v>
      </c>
      <c r="F214" s="86">
        <v>0.54166666666666663</v>
      </c>
      <c r="G214" s="86">
        <v>3.4722222222222218E-4</v>
      </c>
      <c r="H214" s="81" t="s">
        <v>180</v>
      </c>
      <c r="I214" s="87" t="s">
        <v>141</v>
      </c>
      <c r="J214" s="81" t="s">
        <v>136</v>
      </c>
      <c r="K214" s="81"/>
      <c r="L214" s="81">
        <v>1</v>
      </c>
      <c r="M214" s="81">
        <v>69730</v>
      </c>
      <c r="N214" s="81" t="s">
        <v>33</v>
      </c>
      <c r="O214" s="81" t="s">
        <v>161</v>
      </c>
      <c r="P214" s="91">
        <v>46</v>
      </c>
      <c r="Q214" s="81"/>
      <c r="R214" s="91">
        <v>46</v>
      </c>
      <c r="S214" s="89">
        <v>46082</v>
      </c>
      <c r="T214" s="91">
        <v>6.8999999999999995</v>
      </c>
      <c r="U214" s="90">
        <v>4</v>
      </c>
      <c r="V214" s="91">
        <v>39.1</v>
      </c>
      <c r="W214" s="81" t="s">
        <v>85</v>
      </c>
      <c r="X214" s="81" t="s">
        <v>76</v>
      </c>
      <c r="Y214" s="81" t="s">
        <v>6</v>
      </c>
      <c r="Z214" s="81" t="s">
        <v>57</v>
      </c>
      <c r="AA214" s="81" t="s">
        <v>32</v>
      </c>
      <c r="AB214" s="90" t="s">
        <v>162</v>
      </c>
      <c r="AC214" s="81" t="s">
        <v>65</v>
      </c>
    </row>
    <row r="215" spans="1:29">
      <c r="A215" s="81" t="s">
        <v>93</v>
      </c>
      <c r="B215" s="84">
        <v>46090</v>
      </c>
      <c r="C215" s="83">
        <v>46090</v>
      </c>
      <c r="D215" s="85" t="s">
        <v>160</v>
      </c>
      <c r="E215" s="86">
        <v>0.45833333333333331</v>
      </c>
      <c r="F215" s="86">
        <v>0.54166666666666663</v>
      </c>
      <c r="G215" s="86">
        <v>3.4722222222222218E-4</v>
      </c>
      <c r="H215" s="81" t="s">
        <v>180</v>
      </c>
      <c r="I215" s="87" t="s">
        <v>142</v>
      </c>
      <c r="J215" s="81" t="s">
        <v>136</v>
      </c>
      <c r="K215" s="81"/>
      <c r="L215" s="81">
        <v>1</v>
      </c>
      <c r="M215" s="81">
        <v>69730</v>
      </c>
      <c r="N215" s="81" t="s">
        <v>33</v>
      </c>
      <c r="O215" s="81" t="s">
        <v>161</v>
      </c>
      <c r="P215" s="91">
        <v>46</v>
      </c>
      <c r="Q215" s="81"/>
      <c r="R215" s="91">
        <v>46</v>
      </c>
      <c r="S215" s="89">
        <v>46082</v>
      </c>
      <c r="T215" s="91">
        <v>6.8999999999999995</v>
      </c>
      <c r="U215" s="90">
        <v>4</v>
      </c>
      <c r="V215" s="91">
        <v>39.1</v>
      </c>
      <c r="W215" s="81" t="s">
        <v>85</v>
      </c>
      <c r="X215" s="81" t="s">
        <v>76</v>
      </c>
      <c r="Y215" s="81" t="s">
        <v>6</v>
      </c>
      <c r="Z215" s="81" t="s">
        <v>57</v>
      </c>
      <c r="AA215" s="81" t="s">
        <v>32</v>
      </c>
      <c r="AB215" s="90" t="s">
        <v>162</v>
      </c>
      <c r="AC215" s="81" t="s">
        <v>65</v>
      </c>
    </row>
    <row r="216" spans="1:29">
      <c r="A216" s="81" t="s">
        <v>93</v>
      </c>
      <c r="B216" s="84">
        <v>46093</v>
      </c>
      <c r="C216" s="83">
        <v>46093</v>
      </c>
      <c r="D216" s="85" t="s">
        <v>165</v>
      </c>
      <c r="E216" s="86">
        <v>0.45833333333333331</v>
      </c>
      <c r="F216" s="86">
        <v>0.54166666666666663</v>
      </c>
      <c r="G216" s="86">
        <v>3.4722222222222218E-4</v>
      </c>
      <c r="H216" s="81" t="s">
        <v>180</v>
      </c>
      <c r="I216" s="87" t="s">
        <v>143</v>
      </c>
      <c r="J216" s="81" t="s">
        <v>136</v>
      </c>
      <c r="K216" s="81"/>
      <c r="L216" s="81">
        <v>1</v>
      </c>
      <c r="M216" s="81">
        <v>69730</v>
      </c>
      <c r="N216" s="81" t="s">
        <v>33</v>
      </c>
      <c r="O216" s="81" t="s">
        <v>161</v>
      </c>
      <c r="P216" s="91">
        <v>46</v>
      </c>
      <c r="Q216" s="81"/>
      <c r="R216" s="91">
        <v>46</v>
      </c>
      <c r="S216" s="89">
        <v>46082</v>
      </c>
      <c r="T216" s="91">
        <v>6.8999999999999995</v>
      </c>
      <c r="U216" s="90">
        <v>4</v>
      </c>
      <c r="V216" s="91">
        <v>39.1</v>
      </c>
      <c r="W216" s="81" t="s">
        <v>85</v>
      </c>
      <c r="X216" s="81" t="s">
        <v>76</v>
      </c>
      <c r="Y216" s="81" t="s">
        <v>6</v>
      </c>
      <c r="Z216" s="81" t="s">
        <v>57</v>
      </c>
      <c r="AA216" s="81" t="s">
        <v>32</v>
      </c>
      <c r="AB216" s="90" t="s">
        <v>162</v>
      </c>
      <c r="AC216" s="81" t="s">
        <v>65</v>
      </c>
    </row>
    <row r="217" spans="1:29">
      <c r="A217" s="81" t="s">
        <v>93</v>
      </c>
      <c r="B217" s="84">
        <v>46104</v>
      </c>
      <c r="C217" s="83">
        <v>46104</v>
      </c>
      <c r="D217" s="85" t="s">
        <v>160</v>
      </c>
      <c r="E217" s="86">
        <v>0.45833333333333331</v>
      </c>
      <c r="F217" s="86">
        <v>0.54166666666666663</v>
      </c>
      <c r="G217" s="86">
        <v>3.4722222222222218E-4</v>
      </c>
      <c r="H217" s="81" t="s">
        <v>180</v>
      </c>
      <c r="I217" s="87" t="s">
        <v>153</v>
      </c>
      <c r="J217" s="81" t="s">
        <v>136</v>
      </c>
      <c r="K217" s="81"/>
      <c r="L217" s="81">
        <v>1</v>
      </c>
      <c r="M217" s="81">
        <v>69730</v>
      </c>
      <c r="N217" s="81" t="s">
        <v>33</v>
      </c>
      <c r="O217" s="81" t="s">
        <v>161</v>
      </c>
      <c r="P217" s="91">
        <v>46</v>
      </c>
      <c r="Q217" s="81"/>
      <c r="R217" s="91">
        <v>46</v>
      </c>
      <c r="S217" s="89">
        <v>46082</v>
      </c>
      <c r="T217" s="91">
        <v>6.8999999999999995</v>
      </c>
      <c r="U217" s="90">
        <v>4</v>
      </c>
      <c r="V217" s="91">
        <v>39.1</v>
      </c>
      <c r="W217" s="81" t="s">
        <v>85</v>
      </c>
      <c r="X217" s="81" t="s">
        <v>76</v>
      </c>
      <c r="Y217" s="81" t="s">
        <v>6</v>
      </c>
      <c r="Z217" s="81" t="s">
        <v>57</v>
      </c>
      <c r="AA217" s="81" t="s">
        <v>32</v>
      </c>
      <c r="AB217" s="90" t="s">
        <v>162</v>
      </c>
      <c r="AC217" s="81" t="s">
        <v>65</v>
      </c>
    </row>
    <row r="218" spans="1:29">
      <c r="A218" s="81" t="s">
        <v>93</v>
      </c>
      <c r="B218" s="84">
        <v>46108</v>
      </c>
      <c r="C218" s="83">
        <v>46108</v>
      </c>
      <c r="D218" s="85" t="s">
        <v>166</v>
      </c>
      <c r="E218" s="86">
        <v>0.45833333333333331</v>
      </c>
      <c r="F218" s="86">
        <v>0.54166666666666663</v>
      </c>
      <c r="G218" s="86">
        <v>3.4722222222222218E-4</v>
      </c>
      <c r="H218" s="81" t="s">
        <v>180</v>
      </c>
      <c r="I218" s="87" t="s">
        <v>144</v>
      </c>
      <c r="J218" s="81" t="s">
        <v>136</v>
      </c>
      <c r="K218" s="81"/>
      <c r="L218" s="81">
        <v>1</v>
      </c>
      <c r="M218" s="81">
        <v>69730</v>
      </c>
      <c r="N218" s="81" t="s">
        <v>33</v>
      </c>
      <c r="O218" s="81" t="s">
        <v>161</v>
      </c>
      <c r="P218" s="91">
        <v>46</v>
      </c>
      <c r="Q218" s="81"/>
      <c r="R218" s="91">
        <v>46</v>
      </c>
      <c r="S218" s="89">
        <v>46082</v>
      </c>
      <c r="T218" s="91">
        <v>6.8999999999999995</v>
      </c>
      <c r="U218" s="90">
        <v>4</v>
      </c>
      <c r="V218" s="91">
        <v>39.1</v>
      </c>
      <c r="W218" s="81" t="s">
        <v>85</v>
      </c>
      <c r="X218" s="81" t="s">
        <v>76</v>
      </c>
      <c r="Y218" s="81" t="s">
        <v>6</v>
      </c>
      <c r="Z218" s="81" t="s">
        <v>57</v>
      </c>
      <c r="AA218" s="81" t="s">
        <v>32</v>
      </c>
      <c r="AB218" s="90" t="s">
        <v>162</v>
      </c>
      <c r="AC218" s="81" t="s">
        <v>65</v>
      </c>
    </row>
    <row r="219" spans="1:29">
      <c r="A219" s="81" t="s">
        <v>93</v>
      </c>
      <c r="B219" s="84">
        <v>46097</v>
      </c>
      <c r="C219" s="83">
        <v>46097</v>
      </c>
      <c r="D219" s="85" t="s">
        <v>160</v>
      </c>
      <c r="E219" s="86">
        <v>0.45833333333333331</v>
      </c>
      <c r="F219" s="86">
        <v>0.54166666666666663</v>
      </c>
      <c r="G219" s="86">
        <v>3.4722222222222218E-4</v>
      </c>
      <c r="H219" s="81" t="s">
        <v>180</v>
      </c>
      <c r="I219" s="87" t="s">
        <v>145</v>
      </c>
      <c r="J219" s="81" t="s">
        <v>136</v>
      </c>
      <c r="K219" s="81"/>
      <c r="L219" s="81">
        <v>1</v>
      </c>
      <c r="M219" s="81">
        <v>69730</v>
      </c>
      <c r="N219" s="81" t="s">
        <v>33</v>
      </c>
      <c r="O219" s="81" t="s">
        <v>161</v>
      </c>
      <c r="P219" s="91">
        <v>46</v>
      </c>
      <c r="Q219" s="81"/>
      <c r="R219" s="91">
        <v>46</v>
      </c>
      <c r="S219" s="89">
        <v>46082</v>
      </c>
      <c r="T219" s="91">
        <v>6.8999999999999995</v>
      </c>
      <c r="U219" s="90">
        <v>4</v>
      </c>
      <c r="V219" s="91">
        <v>39.1</v>
      </c>
      <c r="W219" s="81" t="s">
        <v>85</v>
      </c>
      <c r="X219" s="81" t="s">
        <v>76</v>
      </c>
      <c r="Y219" s="81" t="s">
        <v>6</v>
      </c>
      <c r="Z219" s="81" t="s">
        <v>57</v>
      </c>
      <c r="AA219" s="81" t="s">
        <v>32</v>
      </c>
      <c r="AB219" s="90" t="s">
        <v>162</v>
      </c>
      <c r="AC219" s="81" t="s">
        <v>65</v>
      </c>
    </row>
    <row r="220" spans="1:29">
      <c r="A220" s="81" t="s">
        <v>93</v>
      </c>
      <c r="B220" s="84">
        <v>46100</v>
      </c>
      <c r="C220" s="83">
        <v>46100</v>
      </c>
      <c r="D220" s="85" t="s">
        <v>165</v>
      </c>
      <c r="E220" s="86">
        <v>0.45833333333333331</v>
      </c>
      <c r="F220" s="86">
        <v>0.54166666666666663</v>
      </c>
      <c r="G220" s="86">
        <v>3.4722222222222218E-4</v>
      </c>
      <c r="H220" s="81" t="s">
        <v>180</v>
      </c>
      <c r="I220" s="87" t="s">
        <v>145</v>
      </c>
      <c r="J220" s="81" t="s">
        <v>136</v>
      </c>
      <c r="K220" s="81"/>
      <c r="L220" s="81">
        <v>1</v>
      </c>
      <c r="M220" s="81">
        <v>69730</v>
      </c>
      <c r="N220" s="81" t="s">
        <v>33</v>
      </c>
      <c r="O220" s="81" t="s">
        <v>161</v>
      </c>
      <c r="P220" s="91">
        <v>46</v>
      </c>
      <c r="Q220" s="81"/>
      <c r="R220" s="91">
        <v>46</v>
      </c>
      <c r="S220" s="89">
        <v>46082</v>
      </c>
      <c r="T220" s="91">
        <v>6.8999999999999995</v>
      </c>
      <c r="U220" s="90">
        <v>4</v>
      </c>
      <c r="V220" s="91">
        <v>39.1</v>
      </c>
      <c r="W220" s="81" t="s">
        <v>85</v>
      </c>
      <c r="X220" s="81" t="s">
        <v>76</v>
      </c>
      <c r="Y220" s="81" t="s">
        <v>6</v>
      </c>
      <c r="Z220" s="81" t="s">
        <v>57</v>
      </c>
      <c r="AA220" s="81" t="s">
        <v>32</v>
      </c>
      <c r="AB220" s="90" t="s">
        <v>162</v>
      </c>
      <c r="AC220" s="81" t="s">
        <v>65</v>
      </c>
    </row>
    <row r="221" spans="1:29">
      <c r="A221" s="81" t="s">
        <v>93</v>
      </c>
      <c r="B221" s="84">
        <v>46094</v>
      </c>
      <c r="C221" s="83">
        <v>46094</v>
      </c>
      <c r="D221" s="85" t="s">
        <v>166</v>
      </c>
      <c r="E221" s="86">
        <v>0.45833333333333331</v>
      </c>
      <c r="F221" s="86">
        <v>0.54166666666666663</v>
      </c>
      <c r="G221" s="86">
        <v>3.4722222222222218E-4</v>
      </c>
      <c r="H221" s="81" t="s">
        <v>180</v>
      </c>
      <c r="I221" s="87" t="s">
        <v>146</v>
      </c>
      <c r="J221" s="81" t="s">
        <v>136</v>
      </c>
      <c r="K221" s="81"/>
      <c r="L221" s="81">
        <v>1</v>
      </c>
      <c r="M221" s="81">
        <v>69730</v>
      </c>
      <c r="N221" s="81" t="s">
        <v>33</v>
      </c>
      <c r="O221" s="81" t="s">
        <v>161</v>
      </c>
      <c r="P221" s="91">
        <v>46</v>
      </c>
      <c r="Q221" s="81"/>
      <c r="R221" s="91">
        <v>46</v>
      </c>
      <c r="S221" s="89">
        <v>46082</v>
      </c>
      <c r="T221" s="91">
        <v>6.8999999999999995</v>
      </c>
      <c r="U221" s="90">
        <v>4</v>
      </c>
      <c r="V221" s="91">
        <v>39.1</v>
      </c>
      <c r="W221" s="81" t="s">
        <v>85</v>
      </c>
      <c r="X221" s="81" t="s">
        <v>76</v>
      </c>
      <c r="Y221" s="81" t="s">
        <v>6</v>
      </c>
      <c r="Z221" s="81" t="s">
        <v>57</v>
      </c>
      <c r="AA221" s="81" t="s">
        <v>32</v>
      </c>
      <c r="AB221" s="90" t="s">
        <v>162</v>
      </c>
      <c r="AC221" s="81" t="s">
        <v>65</v>
      </c>
    </row>
    <row r="222" spans="1:29">
      <c r="A222" s="81" t="s">
        <v>93</v>
      </c>
      <c r="B222" s="84">
        <v>46091</v>
      </c>
      <c r="C222" s="83">
        <v>46091</v>
      </c>
      <c r="D222" s="85" t="s">
        <v>163</v>
      </c>
      <c r="E222" s="86">
        <v>0.45833333333333331</v>
      </c>
      <c r="F222" s="86">
        <v>0.54166666666666663</v>
      </c>
      <c r="G222" s="86">
        <v>3.4722222222222218E-4</v>
      </c>
      <c r="H222" s="81" t="s">
        <v>180</v>
      </c>
      <c r="I222" s="87" t="s">
        <v>147</v>
      </c>
      <c r="J222" s="81" t="s">
        <v>136</v>
      </c>
      <c r="K222" s="81"/>
      <c r="L222" s="81">
        <v>1</v>
      </c>
      <c r="M222" s="81">
        <v>69730</v>
      </c>
      <c r="N222" s="81" t="s">
        <v>33</v>
      </c>
      <c r="O222" s="81" t="s">
        <v>161</v>
      </c>
      <c r="P222" s="91">
        <v>46</v>
      </c>
      <c r="Q222" s="81"/>
      <c r="R222" s="91">
        <v>46</v>
      </c>
      <c r="S222" s="89">
        <v>46082</v>
      </c>
      <c r="T222" s="91">
        <v>6.8999999999999995</v>
      </c>
      <c r="U222" s="90">
        <v>4</v>
      </c>
      <c r="V222" s="91">
        <v>39.1</v>
      </c>
      <c r="W222" s="81" t="s">
        <v>85</v>
      </c>
      <c r="X222" s="81" t="s">
        <v>76</v>
      </c>
      <c r="Y222" s="81" t="s">
        <v>6</v>
      </c>
      <c r="Z222" s="81" t="s">
        <v>57</v>
      </c>
      <c r="AA222" s="81" t="s">
        <v>32</v>
      </c>
      <c r="AB222" s="90" t="s">
        <v>162</v>
      </c>
      <c r="AC222" s="81" t="s">
        <v>65</v>
      </c>
    </row>
    <row r="223" spans="1:29">
      <c r="A223" s="81" t="s">
        <v>93</v>
      </c>
      <c r="B223" s="84">
        <v>46104</v>
      </c>
      <c r="C223" s="83">
        <v>46104</v>
      </c>
      <c r="D223" s="85" t="s">
        <v>160</v>
      </c>
      <c r="E223" s="86">
        <v>0.45833333333333331</v>
      </c>
      <c r="F223" s="86">
        <v>0.54166666666666663</v>
      </c>
      <c r="G223" s="86">
        <v>3.4722222222222218E-4</v>
      </c>
      <c r="H223" s="81" t="s">
        <v>180</v>
      </c>
      <c r="I223" s="87" t="s">
        <v>147</v>
      </c>
      <c r="J223" s="81" t="s">
        <v>136</v>
      </c>
      <c r="K223" s="81"/>
      <c r="L223" s="81">
        <v>1</v>
      </c>
      <c r="M223" s="81">
        <v>69730</v>
      </c>
      <c r="N223" s="81" t="s">
        <v>33</v>
      </c>
      <c r="O223" s="81" t="s">
        <v>161</v>
      </c>
      <c r="P223" s="91">
        <v>46</v>
      </c>
      <c r="Q223" s="81"/>
      <c r="R223" s="91">
        <v>46</v>
      </c>
      <c r="S223" s="89">
        <v>46082</v>
      </c>
      <c r="T223" s="91">
        <v>6.8999999999999995</v>
      </c>
      <c r="U223" s="90">
        <v>4</v>
      </c>
      <c r="V223" s="91">
        <v>39.1</v>
      </c>
      <c r="W223" s="81" t="s">
        <v>85</v>
      </c>
      <c r="X223" s="81" t="s">
        <v>76</v>
      </c>
      <c r="Y223" s="81" t="s">
        <v>6</v>
      </c>
      <c r="Z223" s="81" t="s">
        <v>57</v>
      </c>
      <c r="AA223" s="81" t="s">
        <v>32</v>
      </c>
      <c r="AB223" s="90" t="s">
        <v>162</v>
      </c>
      <c r="AC223" s="81" t="s">
        <v>65</v>
      </c>
    </row>
    <row r="224" spans="1:29">
      <c r="A224" s="81" t="s">
        <v>93</v>
      </c>
      <c r="B224" s="84">
        <v>46108</v>
      </c>
      <c r="C224" s="83">
        <v>46108</v>
      </c>
      <c r="D224" s="85" t="s">
        <v>166</v>
      </c>
      <c r="E224" s="86">
        <v>0.45833333333333331</v>
      </c>
      <c r="F224" s="86">
        <v>0.54166666666666663</v>
      </c>
      <c r="G224" s="86">
        <v>3.4722222222222218E-4</v>
      </c>
      <c r="H224" s="81" t="s">
        <v>180</v>
      </c>
      <c r="I224" s="87" t="s">
        <v>148</v>
      </c>
      <c r="J224" s="81" t="s">
        <v>136</v>
      </c>
      <c r="K224" s="81"/>
      <c r="L224" s="81">
        <v>1</v>
      </c>
      <c r="M224" s="81">
        <v>69730</v>
      </c>
      <c r="N224" s="81" t="s">
        <v>33</v>
      </c>
      <c r="O224" s="81" t="s">
        <v>161</v>
      </c>
      <c r="P224" s="91">
        <v>46</v>
      </c>
      <c r="Q224" s="81"/>
      <c r="R224" s="91">
        <v>46</v>
      </c>
      <c r="S224" s="89">
        <v>46082</v>
      </c>
      <c r="T224" s="91">
        <v>6.8999999999999995</v>
      </c>
      <c r="U224" s="90">
        <v>4</v>
      </c>
      <c r="V224" s="91">
        <v>39.1</v>
      </c>
      <c r="W224" s="81" t="s">
        <v>85</v>
      </c>
      <c r="X224" s="81" t="s">
        <v>76</v>
      </c>
      <c r="Y224" s="81" t="s">
        <v>6</v>
      </c>
      <c r="Z224" s="81" t="s">
        <v>57</v>
      </c>
      <c r="AA224" s="81" t="s">
        <v>32</v>
      </c>
      <c r="AB224" s="90" t="s">
        <v>162</v>
      </c>
      <c r="AC224" s="81" t="s">
        <v>65</v>
      </c>
    </row>
    <row r="225" spans="1:29">
      <c r="A225" s="81" t="s">
        <v>93</v>
      </c>
      <c r="B225" s="84">
        <v>46098</v>
      </c>
      <c r="C225" s="83">
        <v>46098</v>
      </c>
      <c r="D225" s="85" t="s">
        <v>163</v>
      </c>
      <c r="E225" s="86">
        <v>0.45833333333333331</v>
      </c>
      <c r="F225" s="86">
        <v>0.54166666666666663</v>
      </c>
      <c r="G225" s="86">
        <v>3.4722222222222218E-4</v>
      </c>
      <c r="H225" s="81" t="s">
        <v>180</v>
      </c>
      <c r="I225" s="87" t="s">
        <v>149</v>
      </c>
      <c r="J225" s="81" t="s">
        <v>136</v>
      </c>
      <c r="K225" s="81"/>
      <c r="L225" s="81">
        <v>1</v>
      </c>
      <c r="M225" s="81">
        <v>69730</v>
      </c>
      <c r="N225" s="81" t="s">
        <v>33</v>
      </c>
      <c r="O225" s="81" t="s">
        <v>161</v>
      </c>
      <c r="P225" s="91">
        <v>46</v>
      </c>
      <c r="Q225" s="81"/>
      <c r="R225" s="91">
        <v>46</v>
      </c>
      <c r="S225" s="89">
        <v>46082</v>
      </c>
      <c r="T225" s="91">
        <v>6.8999999999999995</v>
      </c>
      <c r="U225" s="90">
        <v>4</v>
      </c>
      <c r="V225" s="91">
        <v>39.1</v>
      </c>
      <c r="W225" s="81" t="s">
        <v>85</v>
      </c>
      <c r="X225" s="81" t="s">
        <v>76</v>
      </c>
      <c r="Y225" s="81" t="s">
        <v>6</v>
      </c>
      <c r="Z225" s="81" t="s">
        <v>57</v>
      </c>
      <c r="AA225" s="81" t="s">
        <v>32</v>
      </c>
      <c r="AB225" s="90" t="s">
        <v>162</v>
      </c>
      <c r="AC225" s="81" t="s">
        <v>65</v>
      </c>
    </row>
    <row r="226" spans="1:29">
      <c r="A226" s="81" t="s">
        <v>93</v>
      </c>
      <c r="B226" s="84">
        <v>46105</v>
      </c>
      <c r="C226" s="83">
        <v>46105</v>
      </c>
      <c r="D226" s="85" t="s">
        <v>163</v>
      </c>
      <c r="E226" s="86">
        <v>0.45833333333333331</v>
      </c>
      <c r="F226" s="86">
        <v>0.54166666666666663</v>
      </c>
      <c r="G226" s="86">
        <v>3.4722222222222218E-4</v>
      </c>
      <c r="H226" s="81" t="s">
        <v>180</v>
      </c>
      <c r="I226" s="87" t="s">
        <v>149</v>
      </c>
      <c r="J226" s="81" t="s">
        <v>136</v>
      </c>
      <c r="K226" s="81"/>
      <c r="L226" s="81">
        <v>1</v>
      </c>
      <c r="M226" s="81">
        <v>69730</v>
      </c>
      <c r="N226" s="81" t="s">
        <v>33</v>
      </c>
      <c r="O226" s="81" t="s">
        <v>161</v>
      </c>
      <c r="P226" s="91">
        <v>46</v>
      </c>
      <c r="Q226" s="81"/>
      <c r="R226" s="91">
        <v>46</v>
      </c>
      <c r="S226" s="89">
        <v>46082</v>
      </c>
      <c r="T226" s="91">
        <v>6.8999999999999995</v>
      </c>
      <c r="U226" s="90">
        <v>4</v>
      </c>
      <c r="V226" s="91">
        <v>39.1</v>
      </c>
      <c r="W226" s="81" t="s">
        <v>85</v>
      </c>
      <c r="X226" s="81" t="s">
        <v>76</v>
      </c>
      <c r="Y226" s="81" t="s">
        <v>6</v>
      </c>
      <c r="Z226" s="81" t="s">
        <v>57</v>
      </c>
      <c r="AA226" s="81" t="s">
        <v>32</v>
      </c>
      <c r="AB226" s="90" t="s">
        <v>162</v>
      </c>
      <c r="AC226" s="81" t="s">
        <v>65</v>
      </c>
    </row>
    <row r="227" spans="1:29">
      <c r="A227" s="81" t="s">
        <v>93</v>
      </c>
      <c r="B227" s="84">
        <v>46095</v>
      </c>
      <c r="C227" s="83">
        <v>46095</v>
      </c>
      <c r="D227" s="85" t="s">
        <v>168</v>
      </c>
      <c r="E227" s="86">
        <v>0.45833333333333331</v>
      </c>
      <c r="F227" s="86">
        <v>0.54166666666666663</v>
      </c>
      <c r="G227" s="86">
        <v>3.4722222222222218E-4</v>
      </c>
      <c r="H227" s="81" t="s">
        <v>180</v>
      </c>
      <c r="I227" s="87" t="s">
        <v>135</v>
      </c>
      <c r="J227" s="81" t="s">
        <v>136</v>
      </c>
      <c r="K227" s="81"/>
      <c r="L227" s="81">
        <v>1</v>
      </c>
      <c r="M227" s="81">
        <v>69731</v>
      </c>
      <c r="N227" s="81" t="s">
        <v>33</v>
      </c>
      <c r="O227" s="81" t="s">
        <v>161</v>
      </c>
      <c r="P227" s="91">
        <v>37</v>
      </c>
      <c r="Q227" s="81"/>
      <c r="R227" s="91">
        <v>37</v>
      </c>
      <c r="S227" s="89">
        <v>46082</v>
      </c>
      <c r="T227" s="91">
        <v>5.55</v>
      </c>
      <c r="U227" s="90">
        <v>4</v>
      </c>
      <c r="V227" s="91">
        <v>31.45</v>
      </c>
      <c r="W227" s="81" t="s">
        <v>85</v>
      </c>
      <c r="X227" s="81" t="s">
        <v>76</v>
      </c>
      <c r="Y227" s="81" t="s">
        <v>6</v>
      </c>
      <c r="Z227" s="81" t="s">
        <v>57</v>
      </c>
      <c r="AA227" s="81" t="s">
        <v>32</v>
      </c>
      <c r="AB227" s="90" t="s">
        <v>162</v>
      </c>
      <c r="AC227" s="81" t="s">
        <v>65</v>
      </c>
    </row>
    <row r="228" spans="1:29">
      <c r="A228" s="81" t="s">
        <v>93</v>
      </c>
      <c r="B228" s="84">
        <v>46102</v>
      </c>
      <c r="C228" s="83">
        <v>46102</v>
      </c>
      <c r="D228" s="85" t="s">
        <v>168</v>
      </c>
      <c r="E228" s="86">
        <v>0.45833333333333331</v>
      </c>
      <c r="F228" s="86">
        <v>0.54166666666666663</v>
      </c>
      <c r="G228" s="86">
        <v>3.4722222222222218E-4</v>
      </c>
      <c r="H228" s="81" t="s">
        <v>180</v>
      </c>
      <c r="I228" s="87" t="s">
        <v>135</v>
      </c>
      <c r="J228" s="81" t="s">
        <v>136</v>
      </c>
      <c r="K228" s="81"/>
      <c r="L228" s="81">
        <v>1</v>
      </c>
      <c r="M228" s="81">
        <v>69731</v>
      </c>
      <c r="N228" s="81" t="s">
        <v>33</v>
      </c>
      <c r="O228" s="81" t="s">
        <v>161</v>
      </c>
      <c r="P228" s="91">
        <v>37</v>
      </c>
      <c r="Q228" s="81"/>
      <c r="R228" s="91">
        <v>37</v>
      </c>
      <c r="S228" s="89">
        <v>46082</v>
      </c>
      <c r="T228" s="91">
        <v>5.55</v>
      </c>
      <c r="U228" s="90">
        <v>4</v>
      </c>
      <c r="V228" s="91">
        <v>31.45</v>
      </c>
      <c r="W228" s="81" t="s">
        <v>85</v>
      </c>
      <c r="X228" s="81" t="s">
        <v>76</v>
      </c>
      <c r="Y228" s="81" t="s">
        <v>6</v>
      </c>
      <c r="Z228" s="81" t="s">
        <v>57</v>
      </c>
      <c r="AA228" s="81" t="s">
        <v>32</v>
      </c>
      <c r="AB228" s="90" t="s">
        <v>162</v>
      </c>
      <c r="AC228" s="81" t="s">
        <v>65</v>
      </c>
    </row>
    <row r="229" spans="1:29">
      <c r="A229" s="81" t="s">
        <v>93</v>
      </c>
      <c r="B229" s="84">
        <v>46110</v>
      </c>
      <c r="C229" s="83">
        <v>46110</v>
      </c>
      <c r="D229" s="85" t="s">
        <v>169</v>
      </c>
      <c r="E229" s="86">
        <v>0.45833333333333331</v>
      </c>
      <c r="F229" s="86">
        <v>0.54166666666666663</v>
      </c>
      <c r="G229" s="86">
        <v>3.4722222222222218E-4</v>
      </c>
      <c r="H229" s="81" t="s">
        <v>180</v>
      </c>
      <c r="I229" s="87" t="s">
        <v>135</v>
      </c>
      <c r="J229" s="81" t="s">
        <v>136</v>
      </c>
      <c r="K229" s="81"/>
      <c r="L229" s="81">
        <v>1</v>
      </c>
      <c r="M229" s="81">
        <v>69731</v>
      </c>
      <c r="N229" s="81" t="s">
        <v>33</v>
      </c>
      <c r="O229" s="81" t="s">
        <v>161</v>
      </c>
      <c r="P229" s="91">
        <v>37</v>
      </c>
      <c r="Q229" s="81"/>
      <c r="R229" s="91">
        <v>37</v>
      </c>
      <c r="S229" s="89">
        <v>46082</v>
      </c>
      <c r="T229" s="91">
        <v>5.55</v>
      </c>
      <c r="U229" s="90">
        <v>4</v>
      </c>
      <c r="V229" s="91">
        <v>31.45</v>
      </c>
      <c r="W229" s="81" t="s">
        <v>85</v>
      </c>
      <c r="X229" s="81" t="s">
        <v>76</v>
      </c>
      <c r="Y229" s="81" t="s">
        <v>6</v>
      </c>
      <c r="Z229" s="81" t="s">
        <v>57</v>
      </c>
      <c r="AA229" s="81" t="s">
        <v>32</v>
      </c>
      <c r="AB229" s="90" t="s">
        <v>162</v>
      </c>
      <c r="AC229" s="81" t="s">
        <v>65</v>
      </c>
    </row>
    <row r="230" spans="1:29">
      <c r="A230" s="81" t="s">
        <v>93</v>
      </c>
      <c r="B230" s="84">
        <v>46103</v>
      </c>
      <c r="C230" s="83">
        <v>46103</v>
      </c>
      <c r="D230" s="85" t="s">
        <v>169</v>
      </c>
      <c r="E230" s="86">
        <v>0.45833333333333331</v>
      </c>
      <c r="F230" s="86">
        <v>0.54166666666666663</v>
      </c>
      <c r="G230" s="86">
        <v>3.4722222222222218E-4</v>
      </c>
      <c r="H230" s="81" t="s">
        <v>180</v>
      </c>
      <c r="I230" s="87" t="s">
        <v>138</v>
      </c>
      <c r="J230" s="81" t="s">
        <v>136</v>
      </c>
      <c r="K230" s="81"/>
      <c r="L230" s="81">
        <v>1</v>
      </c>
      <c r="M230" s="81">
        <v>69731</v>
      </c>
      <c r="N230" s="81" t="s">
        <v>33</v>
      </c>
      <c r="O230" s="81" t="s">
        <v>161</v>
      </c>
      <c r="P230" s="91">
        <v>37</v>
      </c>
      <c r="Q230" s="81"/>
      <c r="R230" s="91">
        <v>37</v>
      </c>
      <c r="S230" s="89">
        <v>46082</v>
      </c>
      <c r="T230" s="91">
        <v>5.55</v>
      </c>
      <c r="U230" s="90">
        <v>4</v>
      </c>
      <c r="V230" s="91">
        <v>31.45</v>
      </c>
      <c r="W230" s="81" t="s">
        <v>85</v>
      </c>
      <c r="X230" s="81" t="s">
        <v>76</v>
      </c>
      <c r="Y230" s="81" t="s">
        <v>6</v>
      </c>
      <c r="Z230" s="81" t="s">
        <v>57</v>
      </c>
      <c r="AA230" s="81" t="s">
        <v>32</v>
      </c>
      <c r="AB230" s="90" t="s">
        <v>162</v>
      </c>
      <c r="AC230" s="81" t="s">
        <v>65</v>
      </c>
    </row>
    <row r="231" spans="1:29">
      <c r="A231" s="81" t="s">
        <v>93</v>
      </c>
      <c r="B231" s="84">
        <v>46095</v>
      </c>
      <c r="C231" s="83">
        <v>46095</v>
      </c>
      <c r="D231" s="85" t="s">
        <v>168</v>
      </c>
      <c r="E231" s="86">
        <v>0.45833333333333331</v>
      </c>
      <c r="F231" s="86">
        <v>0.54166666666666663</v>
      </c>
      <c r="G231" s="86">
        <v>3.4722222222222218E-4</v>
      </c>
      <c r="H231" s="81" t="s">
        <v>180</v>
      </c>
      <c r="I231" s="87" t="s">
        <v>150</v>
      </c>
      <c r="J231" s="81" t="s">
        <v>136</v>
      </c>
      <c r="K231" s="81"/>
      <c r="L231" s="81">
        <v>1</v>
      </c>
      <c r="M231" s="81">
        <v>69731</v>
      </c>
      <c r="N231" s="81" t="s">
        <v>33</v>
      </c>
      <c r="O231" s="81" t="s">
        <v>161</v>
      </c>
      <c r="P231" s="91">
        <v>37</v>
      </c>
      <c r="Q231" s="81"/>
      <c r="R231" s="91">
        <v>37</v>
      </c>
      <c r="S231" s="89">
        <v>46082</v>
      </c>
      <c r="T231" s="91">
        <v>5.55</v>
      </c>
      <c r="U231" s="90">
        <v>4</v>
      </c>
      <c r="V231" s="91">
        <v>31.45</v>
      </c>
      <c r="W231" s="81" t="s">
        <v>85</v>
      </c>
      <c r="X231" s="81" t="s">
        <v>76</v>
      </c>
      <c r="Y231" s="81" t="s">
        <v>6</v>
      </c>
      <c r="Z231" s="81" t="s">
        <v>57</v>
      </c>
      <c r="AA231" s="81" t="s">
        <v>32</v>
      </c>
      <c r="AB231" s="90" t="s">
        <v>162</v>
      </c>
      <c r="AC231" s="81" t="s">
        <v>65</v>
      </c>
    </row>
    <row r="232" spans="1:29">
      <c r="A232" s="81" t="s">
        <v>93</v>
      </c>
      <c r="B232" s="84">
        <v>46096</v>
      </c>
      <c r="C232" s="83">
        <v>46096</v>
      </c>
      <c r="D232" s="85" t="s">
        <v>169</v>
      </c>
      <c r="E232" s="86">
        <v>0.45833333333333331</v>
      </c>
      <c r="F232" s="86">
        <v>0.54166666666666663</v>
      </c>
      <c r="G232" s="86">
        <v>3.4722222222222218E-4</v>
      </c>
      <c r="H232" s="81" t="s">
        <v>180</v>
      </c>
      <c r="I232" s="87" t="s">
        <v>150</v>
      </c>
      <c r="J232" s="81" t="s">
        <v>136</v>
      </c>
      <c r="K232" s="81"/>
      <c r="L232" s="81">
        <v>1</v>
      </c>
      <c r="M232" s="81">
        <v>69731</v>
      </c>
      <c r="N232" s="81" t="s">
        <v>33</v>
      </c>
      <c r="O232" s="81" t="s">
        <v>161</v>
      </c>
      <c r="P232" s="91">
        <v>37</v>
      </c>
      <c r="Q232" s="81"/>
      <c r="R232" s="91">
        <v>37</v>
      </c>
      <c r="S232" s="89">
        <v>46082</v>
      </c>
      <c r="T232" s="91">
        <v>5.55</v>
      </c>
      <c r="U232" s="90">
        <v>4</v>
      </c>
      <c r="V232" s="91">
        <v>31.45</v>
      </c>
      <c r="W232" s="81" t="s">
        <v>85</v>
      </c>
      <c r="X232" s="81" t="s">
        <v>76</v>
      </c>
      <c r="Y232" s="81" t="s">
        <v>6</v>
      </c>
      <c r="Z232" s="81" t="s">
        <v>57</v>
      </c>
      <c r="AA232" s="81" t="s">
        <v>32</v>
      </c>
      <c r="AB232" s="90" t="s">
        <v>162</v>
      </c>
      <c r="AC232" s="81" t="s">
        <v>65</v>
      </c>
    </row>
    <row r="233" spans="1:29">
      <c r="A233" s="81" t="s">
        <v>93</v>
      </c>
      <c r="B233" s="84">
        <v>46102</v>
      </c>
      <c r="C233" s="83">
        <v>46102</v>
      </c>
      <c r="D233" s="85" t="s">
        <v>168</v>
      </c>
      <c r="E233" s="86">
        <v>0.45833333333333331</v>
      </c>
      <c r="F233" s="86">
        <v>0.54166666666666663</v>
      </c>
      <c r="G233" s="86">
        <v>3.4722222222222218E-4</v>
      </c>
      <c r="H233" s="81" t="s">
        <v>180</v>
      </c>
      <c r="I233" s="87" t="s">
        <v>150</v>
      </c>
      <c r="J233" s="81" t="s">
        <v>136</v>
      </c>
      <c r="K233" s="81"/>
      <c r="L233" s="81">
        <v>1</v>
      </c>
      <c r="M233" s="81">
        <v>69731</v>
      </c>
      <c r="N233" s="81" t="s">
        <v>33</v>
      </c>
      <c r="O233" s="81" t="s">
        <v>161</v>
      </c>
      <c r="P233" s="91">
        <v>37</v>
      </c>
      <c r="Q233" s="81"/>
      <c r="R233" s="91">
        <v>37</v>
      </c>
      <c r="S233" s="89">
        <v>46082</v>
      </c>
      <c r="T233" s="91">
        <v>5.55</v>
      </c>
      <c r="U233" s="90">
        <v>4</v>
      </c>
      <c r="V233" s="91">
        <v>31.45</v>
      </c>
      <c r="W233" s="81" t="s">
        <v>85</v>
      </c>
      <c r="X233" s="81" t="s">
        <v>76</v>
      </c>
      <c r="Y233" s="81" t="s">
        <v>6</v>
      </c>
      <c r="Z233" s="81" t="s">
        <v>57</v>
      </c>
      <c r="AA233" s="81" t="s">
        <v>32</v>
      </c>
      <c r="AB233" s="90" t="s">
        <v>162</v>
      </c>
      <c r="AC233" s="81" t="s">
        <v>65</v>
      </c>
    </row>
    <row r="234" spans="1:29">
      <c r="A234" s="81" t="s">
        <v>93</v>
      </c>
      <c r="B234" s="84">
        <v>46109</v>
      </c>
      <c r="C234" s="83">
        <v>46109</v>
      </c>
      <c r="D234" s="85" t="s">
        <v>168</v>
      </c>
      <c r="E234" s="86">
        <v>0.45833333333333331</v>
      </c>
      <c r="F234" s="86">
        <v>0.54166666666666663</v>
      </c>
      <c r="G234" s="86">
        <v>3.4722222222222218E-4</v>
      </c>
      <c r="H234" s="81" t="s">
        <v>180</v>
      </c>
      <c r="I234" s="87" t="s">
        <v>150</v>
      </c>
      <c r="J234" s="81" t="s">
        <v>136</v>
      </c>
      <c r="K234" s="81"/>
      <c r="L234" s="81">
        <v>1</v>
      </c>
      <c r="M234" s="81">
        <v>69731</v>
      </c>
      <c r="N234" s="81" t="s">
        <v>33</v>
      </c>
      <c r="O234" s="81" t="s">
        <v>161</v>
      </c>
      <c r="P234" s="91">
        <v>37</v>
      </c>
      <c r="Q234" s="81"/>
      <c r="R234" s="91">
        <v>37</v>
      </c>
      <c r="S234" s="89">
        <v>46082</v>
      </c>
      <c r="T234" s="91">
        <v>5.55</v>
      </c>
      <c r="U234" s="90">
        <v>4</v>
      </c>
      <c r="V234" s="91">
        <v>31.45</v>
      </c>
      <c r="W234" s="81" t="s">
        <v>85</v>
      </c>
      <c r="X234" s="81" t="s">
        <v>76</v>
      </c>
      <c r="Y234" s="81" t="s">
        <v>6</v>
      </c>
      <c r="Z234" s="81" t="s">
        <v>57</v>
      </c>
      <c r="AA234" s="81" t="s">
        <v>32</v>
      </c>
      <c r="AB234" s="90" t="s">
        <v>162</v>
      </c>
      <c r="AC234" s="81" t="s">
        <v>65</v>
      </c>
    </row>
    <row r="235" spans="1:29">
      <c r="A235" s="81" t="s">
        <v>93</v>
      </c>
      <c r="B235" s="84">
        <v>46110</v>
      </c>
      <c r="C235" s="83">
        <v>46110</v>
      </c>
      <c r="D235" s="85" t="s">
        <v>169</v>
      </c>
      <c r="E235" s="86">
        <v>0.45833333333333331</v>
      </c>
      <c r="F235" s="86">
        <v>0.54166666666666663</v>
      </c>
      <c r="G235" s="86">
        <v>3.4722222222222218E-4</v>
      </c>
      <c r="H235" s="81" t="s">
        <v>180</v>
      </c>
      <c r="I235" s="87" t="s">
        <v>150</v>
      </c>
      <c r="J235" s="81" t="s">
        <v>136</v>
      </c>
      <c r="K235" s="81"/>
      <c r="L235" s="81">
        <v>1</v>
      </c>
      <c r="M235" s="81">
        <v>69731</v>
      </c>
      <c r="N235" s="81" t="s">
        <v>33</v>
      </c>
      <c r="O235" s="81" t="s">
        <v>161</v>
      </c>
      <c r="P235" s="91">
        <v>37</v>
      </c>
      <c r="Q235" s="81"/>
      <c r="R235" s="91">
        <v>37</v>
      </c>
      <c r="S235" s="89">
        <v>46082</v>
      </c>
      <c r="T235" s="91">
        <v>5.55</v>
      </c>
      <c r="U235" s="90">
        <v>4</v>
      </c>
      <c r="V235" s="91">
        <v>31.45</v>
      </c>
      <c r="W235" s="81" t="s">
        <v>85</v>
      </c>
      <c r="X235" s="81" t="s">
        <v>76</v>
      </c>
      <c r="Y235" s="81" t="s">
        <v>6</v>
      </c>
      <c r="Z235" s="81" t="s">
        <v>57</v>
      </c>
      <c r="AA235" s="81" t="s">
        <v>32</v>
      </c>
      <c r="AB235" s="90" t="s">
        <v>162</v>
      </c>
      <c r="AC235" s="81" t="s">
        <v>65</v>
      </c>
    </row>
    <row r="236" spans="1:29">
      <c r="A236" s="81" t="s">
        <v>93</v>
      </c>
      <c r="B236" s="84">
        <v>46103</v>
      </c>
      <c r="C236" s="83">
        <v>46103</v>
      </c>
      <c r="D236" s="85" t="s">
        <v>169</v>
      </c>
      <c r="E236" s="86">
        <v>0.45833333333333331</v>
      </c>
      <c r="F236" s="86">
        <v>0.54166666666666663</v>
      </c>
      <c r="G236" s="86">
        <v>3.4722222222222218E-4</v>
      </c>
      <c r="H236" s="81" t="s">
        <v>180</v>
      </c>
      <c r="I236" s="87" t="s">
        <v>152</v>
      </c>
      <c r="J236" s="81" t="s">
        <v>136</v>
      </c>
      <c r="K236" s="81"/>
      <c r="L236" s="81">
        <v>1</v>
      </c>
      <c r="M236" s="81">
        <v>69731</v>
      </c>
      <c r="N236" s="81" t="s">
        <v>33</v>
      </c>
      <c r="O236" s="81" t="s">
        <v>161</v>
      </c>
      <c r="P236" s="91">
        <v>37</v>
      </c>
      <c r="Q236" s="81"/>
      <c r="R236" s="91">
        <v>37</v>
      </c>
      <c r="S236" s="89">
        <v>46082</v>
      </c>
      <c r="T236" s="91">
        <v>5.55</v>
      </c>
      <c r="U236" s="90">
        <v>4</v>
      </c>
      <c r="V236" s="91">
        <v>31.45</v>
      </c>
      <c r="W236" s="81" t="s">
        <v>85</v>
      </c>
      <c r="X236" s="81" t="s">
        <v>76</v>
      </c>
      <c r="Y236" s="81" t="s">
        <v>6</v>
      </c>
      <c r="Z236" s="81" t="s">
        <v>57</v>
      </c>
      <c r="AA236" s="81" t="s">
        <v>32</v>
      </c>
      <c r="AB236" s="90" t="s">
        <v>162</v>
      </c>
      <c r="AC236" s="81" t="s">
        <v>65</v>
      </c>
    </row>
    <row r="237" spans="1:29">
      <c r="A237" s="81" t="s">
        <v>93</v>
      </c>
      <c r="B237" s="84">
        <v>46095</v>
      </c>
      <c r="C237" s="83">
        <v>46095</v>
      </c>
      <c r="D237" s="85" t="s">
        <v>168</v>
      </c>
      <c r="E237" s="86">
        <v>0.45833333333333331</v>
      </c>
      <c r="F237" s="86">
        <v>0.54166666666666663</v>
      </c>
      <c r="G237" s="86">
        <v>3.4722222222222218E-4</v>
      </c>
      <c r="H237" s="81" t="s">
        <v>180</v>
      </c>
      <c r="I237" s="87" t="s">
        <v>144</v>
      </c>
      <c r="J237" s="81" t="s">
        <v>136</v>
      </c>
      <c r="K237" s="81"/>
      <c r="L237" s="81">
        <v>1</v>
      </c>
      <c r="M237" s="81">
        <v>69731</v>
      </c>
      <c r="N237" s="81" t="s">
        <v>33</v>
      </c>
      <c r="O237" s="81" t="s">
        <v>161</v>
      </c>
      <c r="P237" s="91">
        <v>37</v>
      </c>
      <c r="Q237" s="81"/>
      <c r="R237" s="91">
        <v>37</v>
      </c>
      <c r="S237" s="89">
        <v>46082</v>
      </c>
      <c r="T237" s="91">
        <v>5.55</v>
      </c>
      <c r="U237" s="90">
        <v>4</v>
      </c>
      <c r="V237" s="91">
        <v>31.45</v>
      </c>
      <c r="W237" s="81" t="s">
        <v>85</v>
      </c>
      <c r="X237" s="81" t="s">
        <v>76</v>
      </c>
      <c r="Y237" s="81" t="s">
        <v>6</v>
      </c>
      <c r="Z237" s="81" t="s">
        <v>57</v>
      </c>
      <c r="AA237" s="81" t="s">
        <v>32</v>
      </c>
      <c r="AB237" s="90" t="s">
        <v>162</v>
      </c>
      <c r="AC237" s="81" t="s">
        <v>65</v>
      </c>
    </row>
    <row r="238" spans="1:29">
      <c r="A238" s="81" t="s">
        <v>93</v>
      </c>
      <c r="B238" s="84">
        <v>46102</v>
      </c>
      <c r="C238" s="83">
        <v>46102</v>
      </c>
      <c r="D238" s="85" t="s">
        <v>168</v>
      </c>
      <c r="E238" s="86">
        <v>0.45833333333333331</v>
      </c>
      <c r="F238" s="86">
        <v>0.54166666666666663</v>
      </c>
      <c r="G238" s="86">
        <v>3.4722222222222218E-4</v>
      </c>
      <c r="H238" s="81" t="s">
        <v>180</v>
      </c>
      <c r="I238" s="87" t="s">
        <v>144</v>
      </c>
      <c r="J238" s="81" t="s">
        <v>136</v>
      </c>
      <c r="K238" s="81"/>
      <c r="L238" s="81">
        <v>1</v>
      </c>
      <c r="M238" s="81">
        <v>69731</v>
      </c>
      <c r="N238" s="81" t="s">
        <v>33</v>
      </c>
      <c r="O238" s="81" t="s">
        <v>161</v>
      </c>
      <c r="P238" s="91">
        <v>37</v>
      </c>
      <c r="Q238" s="81"/>
      <c r="R238" s="91">
        <v>37</v>
      </c>
      <c r="S238" s="89">
        <v>46082</v>
      </c>
      <c r="T238" s="91">
        <v>5.55</v>
      </c>
      <c r="U238" s="90">
        <v>4</v>
      </c>
      <c r="V238" s="91">
        <v>31.45</v>
      </c>
      <c r="W238" s="81" t="s">
        <v>85</v>
      </c>
      <c r="X238" s="81" t="s">
        <v>76</v>
      </c>
      <c r="Y238" s="81" t="s">
        <v>6</v>
      </c>
      <c r="Z238" s="81" t="s">
        <v>57</v>
      </c>
      <c r="AA238" s="81" t="s">
        <v>32</v>
      </c>
      <c r="AB238" s="90" t="s">
        <v>162</v>
      </c>
      <c r="AC238" s="81" t="s">
        <v>65</v>
      </c>
    </row>
    <row r="239" spans="1:29">
      <c r="A239" s="81" t="s">
        <v>93</v>
      </c>
      <c r="B239" s="84">
        <v>46109</v>
      </c>
      <c r="C239" s="83">
        <v>46109</v>
      </c>
      <c r="D239" s="85" t="s">
        <v>168</v>
      </c>
      <c r="E239" s="86">
        <v>0.45833333333333331</v>
      </c>
      <c r="F239" s="86">
        <v>0.54166666666666663</v>
      </c>
      <c r="G239" s="86">
        <v>3.4722222222222218E-4</v>
      </c>
      <c r="H239" s="81" t="s">
        <v>180</v>
      </c>
      <c r="I239" s="87" t="s">
        <v>144</v>
      </c>
      <c r="J239" s="81" t="s">
        <v>136</v>
      </c>
      <c r="K239" s="81"/>
      <c r="L239" s="81">
        <v>1</v>
      </c>
      <c r="M239" s="81">
        <v>69731</v>
      </c>
      <c r="N239" s="81" t="s">
        <v>33</v>
      </c>
      <c r="O239" s="81" t="s">
        <v>161</v>
      </c>
      <c r="P239" s="91">
        <v>37</v>
      </c>
      <c r="Q239" s="81"/>
      <c r="R239" s="91">
        <v>37</v>
      </c>
      <c r="S239" s="89">
        <v>46082</v>
      </c>
      <c r="T239" s="91">
        <v>5.55</v>
      </c>
      <c r="U239" s="90">
        <v>4</v>
      </c>
      <c r="V239" s="91">
        <v>31.45</v>
      </c>
      <c r="W239" s="81" t="s">
        <v>85</v>
      </c>
      <c r="X239" s="81" t="s">
        <v>76</v>
      </c>
      <c r="Y239" s="81" t="s">
        <v>6</v>
      </c>
      <c r="Z239" s="81" t="s">
        <v>57</v>
      </c>
      <c r="AA239" s="81" t="s">
        <v>32</v>
      </c>
      <c r="AB239" s="90" t="s">
        <v>162</v>
      </c>
      <c r="AC239" s="81" t="s">
        <v>65</v>
      </c>
    </row>
    <row r="240" spans="1:29">
      <c r="A240" s="81" t="s">
        <v>93</v>
      </c>
      <c r="B240" s="84">
        <v>46096</v>
      </c>
      <c r="C240" s="83">
        <v>46096</v>
      </c>
      <c r="D240" s="85" t="s">
        <v>169</v>
      </c>
      <c r="E240" s="86">
        <v>0.45833333333333331</v>
      </c>
      <c r="F240" s="86">
        <v>0.54166666666666663</v>
      </c>
      <c r="G240" s="86">
        <v>3.4722222222222218E-4</v>
      </c>
      <c r="H240" s="81" t="s">
        <v>180</v>
      </c>
      <c r="I240" s="87" t="s">
        <v>145</v>
      </c>
      <c r="J240" s="81" t="s">
        <v>136</v>
      </c>
      <c r="K240" s="81"/>
      <c r="L240" s="81">
        <v>1</v>
      </c>
      <c r="M240" s="81">
        <v>69731</v>
      </c>
      <c r="N240" s="81" t="s">
        <v>33</v>
      </c>
      <c r="O240" s="81" t="s">
        <v>161</v>
      </c>
      <c r="P240" s="91">
        <v>37</v>
      </c>
      <c r="Q240" s="81"/>
      <c r="R240" s="91">
        <v>37</v>
      </c>
      <c r="S240" s="89">
        <v>46082</v>
      </c>
      <c r="T240" s="91">
        <v>5.55</v>
      </c>
      <c r="U240" s="90">
        <v>4</v>
      </c>
      <c r="V240" s="91">
        <v>31.45</v>
      </c>
      <c r="W240" s="81" t="s">
        <v>85</v>
      </c>
      <c r="X240" s="81" t="s">
        <v>76</v>
      </c>
      <c r="Y240" s="81" t="s">
        <v>6</v>
      </c>
      <c r="Z240" s="81" t="s">
        <v>57</v>
      </c>
      <c r="AA240" s="81" t="s">
        <v>32</v>
      </c>
      <c r="AB240" s="90" t="s">
        <v>162</v>
      </c>
      <c r="AC240" s="81" t="s">
        <v>65</v>
      </c>
    </row>
    <row r="241" spans="1:29">
      <c r="A241" s="81" t="s">
        <v>93</v>
      </c>
      <c r="B241" s="84">
        <v>46110</v>
      </c>
      <c r="C241" s="83">
        <v>46110</v>
      </c>
      <c r="D241" s="85" t="s">
        <v>169</v>
      </c>
      <c r="E241" s="86">
        <v>0.45833333333333331</v>
      </c>
      <c r="F241" s="86">
        <v>0.54166666666666663</v>
      </c>
      <c r="G241" s="86">
        <v>3.4722222222222218E-4</v>
      </c>
      <c r="H241" s="81" t="s">
        <v>180</v>
      </c>
      <c r="I241" s="87" t="s">
        <v>145</v>
      </c>
      <c r="J241" s="81" t="s">
        <v>136</v>
      </c>
      <c r="K241" s="81"/>
      <c r="L241" s="81">
        <v>1</v>
      </c>
      <c r="M241" s="81">
        <v>69731</v>
      </c>
      <c r="N241" s="81" t="s">
        <v>33</v>
      </c>
      <c r="O241" s="81" t="s">
        <v>161</v>
      </c>
      <c r="P241" s="91">
        <v>37</v>
      </c>
      <c r="Q241" s="81"/>
      <c r="R241" s="91">
        <v>37</v>
      </c>
      <c r="S241" s="89">
        <v>46082</v>
      </c>
      <c r="T241" s="91">
        <v>5.55</v>
      </c>
      <c r="U241" s="90">
        <v>4</v>
      </c>
      <c r="V241" s="91">
        <v>31.45</v>
      </c>
      <c r="W241" s="81" t="s">
        <v>85</v>
      </c>
      <c r="X241" s="81" t="s">
        <v>76</v>
      </c>
      <c r="Y241" s="81" t="s">
        <v>6</v>
      </c>
      <c r="Z241" s="81" t="s">
        <v>57</v>
      </c>
      <c r="AA241" s="81" t="s">
        <v>32</v>
      </c>
      <c r="AB241" s="90" t="s">
        <v>162</v>
      </c>
      <c r="AC241" s="81" t="s">
        <v>65</v>
      </c>
    </row>
    <row r="242" spans="1:29">
      <c r="A242" s="81" t="s">
        <v>93</v>
      </c>
      <c r="B242" s="84">
        <v>46095</v>
      </c>
      <c r="C242" s="83">
        <v>46095</v>
      </c>
      <c r="D242" s="85" t="s">
        <v>168</v>
      </c>
      <c r="E242" s="86">
        <v>0.45833333333333331</v>
      </c>
      <c r="F242" s="86">
        <v>0.54166666666666663</v>
      </c>
      <c r="G242" s="86">
        <v>3.4722222222222218E-4</v>
      </c>
      <c r="H242" s="81" t="s">
        <v>180</v>
      </c>
      <c r="I242" s="87" t="s">
        <v>148</v>
      </c>
      <c r="J242" s="81" t="s">
        <v>136</v>
      </c>
      <c r="K242" s="81"/>
      <c r="L242" s="81">
        <v>1</v>
      </c>
      <c r="M242" s="81">
        <v>69731</v>
      </c>
      <c r="N242" s="81" t="s">
        <v>33</v>
      </c>
      <c r="O242" s="81" t="s">
        <v>161</v>
      </c>
      <c r="P242" s="91">
        <v>37</v>
      </c>
      <c r="Q242" s="81"/>
      <c r="R242" s="91">
        <v>37</v>
      </c>
      <c r="S242" s="89">
        <v>46082</v>
      </c>
      <c r="T242" s="91">
        <v>5.55</v>
      </c>
      <c r="U242" s="90">
        <v>4</v>
      </c>
      <c r="V242" s="91">
        <v>31.45</v>
      </c>
      <c r="W242" s="81" t="s">
        <v>85</v>
      </c>
      <c r="X242" s="81" t="s">
        <v>76</v>
      </c>
      <c r="Y242" s="81" t="s">
        <v>6</v>
      </c>
      <c r="Z242" s="81" t="s">
        <v>57</v>
      </c>
      <c r="AA242" s="81" t="s">
        <v>32</v>
      </c>
      <c r="AB242" s="90" t="s">
        <v>162</v>
      </c>
      <c r="AC242" s="81" t="s">
        <v>65</v>
      </c>
    </row>
    <row r="243" spans="1:29">
      <c r="A243" s="81" t="s">
        <v>93</v>
      </c>
      <c r="B243" s="84">
        <v>46102</v>
      </c>
      <c r="C243" s="83">
        <v>46102</v>
      </c>
      <c r="D243" s="85" t="s">
        <v>168</v>
      </c>
      <c r="E243" s="86">
        <v>0.45833333333333331</v>
      </c>
      <c r="F243" s="86">
        <v>0.54166666666666663</v>
      </c>
      <c r="G243" s="86">
        <v>3.4722222222222218E-4</v>
      </c>
      <c r="H243" s="81" t="s">
        <v>180</v>
      </c>
      <c r="I243" s="87" t="s">
        <v>148</v>
      </c>
      <c r="J243" s="81" t="s">
        <v>136</v>
      </c>
      <c r="K243" s="81"/>
      <c r="L243" s="81">
        <v>1</v>
      </c>
      <c r="M243" s="81">
        <v>69731</v>
      </c>
      <c r="N243" s="81" t="s">
        <v>33</v>
      </c>
      <c r="O243" s="81" t="s">
        <v>161</v>
      </c>
      <c r="P243" s="91">
        <v>37</v>
      </c>
      <c r="Q243" s="81"/>
      <c r="R243" s="91">
        <v>37</v>
      </c>
      <c r="S243" s="89">
        <v>46082</v>
      </c>
      <c r="T243" s="91">
        <v>5.55</v>
      </c>
      <c r="U243" s="90">
        <v>4</v>
      </c>
      <c r="V243" s="91">
        <v>31.45</v>
      </c>
      <c r="W243" s="81" t="s">
        <v>85</v>
      </c>
      <c r="X243" s="81" t="s">
        <v>76</v>
      </c>
      <c r="Y243" s="81" t="s">
        <v>6</v>
      </c>
      <c r="Z243" s="81" t="s">
        <v>57</v>
      </c>
      <c r="AA243" s="81" t="s">
        <v>32</v>
      </c>
      <c r="AB243" s="90" t="s">
        <v>162</v>
      </c>
      <c r="AC243" s="81" t="s">
        <v>65</v>
      </c>
    </row>
    <row r="244" spans="1:29">
      <c r="A244" s="81" t="s">
        <v>93</v>
      </c>
      <c r="B244" s="84">
        <v>46103</v>
      </c>
      <c r="C244" s="83">
        <v>46103</v>
      </c>
      <c r="D244" s="85" t="s">
        <v>169</v>
      </c>
      <c r="E244" s="86">
        <v>0.45833333333333331</v>
      </c>
      <c r="F244" s="86">
        <v>0.54166666666666663</v>
      </c>
      <c r="G244" s="86">
        <v>3.4722222222222218E-4</v>
      </c>
      <c r="H244" s="81" t="s">
        <v>180</v>
      </c>
      <c r="I244" s="87" t="s">
        <v>148</v>
      </c>
      <c r="J244" s="81" t="s">
        <v>136</v>
      </c>
      <c r="K244" s="81"/>
      <c r="L244" s="81">
        <v>1</v>
      </c>
      <c r="M244" s="81">
        <v>69731</v>
      </c>
      <c r="N244" s="81" t="s">
        <v>33</v>
      </c>
      <c r="O244" s="81" t="s">
        <v>161</v>
      </c>
      <c r="P244" s="91">
        <v>37</v>
      </c>
      <c r="Q244" s="81"/>
      <c r="R244" s="91">
        <v>37</v>
      </c>
      <c r="S244" s="89">
        <v>46082</v>
      </c>
      <c r="T244" s="91">
        <v>5.55</v>
      </c>
      <c r="U244" s="90">
        <v>4</v>
      </c>
      <c r="V244" s="91">
        <v>31.45</v>
      </c>
      <c r="W244" s="81" t="s">
        <v>85</v>
      </c>
      <c r="X244" s="81" t="s">
        <v>76</v>
      </c>
      <c r="Y244" s="81" t="s">
        <v>6</v>
      </c>
      <c r="Z244" s="81" t="s">
        <v>57</v>
      </c>
      <c r="AA244" s="81" t="s">
        <v>32</v>
      </c>
      <c r="AB244" s="90" t="s">
        <v>162</v>
      </c>
      <c r="AC244" s="81" t="s">
        <v>65</v>
      </c>
    </row>
    <row r="245" spans="1:29">
      <c r="A245" s="81" t="s">
        <v>93</v>
      </c>
      <c r="B245" s="84">
        <v>46109</v>
      </c>
      <c r="C245" s="83">
        <v>46109</v>
      </c>
      <c r="D245" s="85" t="s">
        <v>168</v>
      </c>
      <c r="E245" s="86">
        <v>0.45833333333333331</v>
      </c>
      <c r="F245" s="86">
        <v>0.54166666666666663</v>
      </c>
      <c r="G245" s="86">
        <v>3.4722222222222218E-4</v>
      </c>
      <c r="H245" s="81" t="s">
        <v>180</v>
      </c>
      <c r="I245" s="87" t="s">
        <v>148</v>
      </c>
      <c r="J245" s="81" t="s">
        <v>136</v>
      </c>
      <c r="K245" s="81"/>
      <c r="L245" s="81">
        <v>1</v>
      </c>
      <c r="M245" s="81">
        <v>69731</v>
      </c>
      <c r="N245" s="81" t="s">
        <v>33</v>
      </c>
      <c r="O245" s="81" t="s">
        <v>161</v>
      </c>
      <c r="P245" s="91">
        <v>37</v>
      </c>
      <c r="Q245" s="81"/>
      <c r="R245" s="91">
        <v>37</v>
      </c>
      <c r="S245" s="89">
        <v>46082</v>
      </c>
      <c r="T245" s="91">
        <v>5.55</v>
      </c>
      <c r="U245" s="90">
        <v>4</v>
      </c>
      <c r="V245" s="91">
        <v>31.45</v>
      </c>
      <c r="W245" s="81" t="s">
        <v>85</v>
      </c>
      <c r="X245" s="81" t="s">
        <v>76</v>
      </c>
      <c r="Y245" s="81" t="s">
        <v>6</v>
      </c>
      <c r="Z245" s="81" t="s">
        <v>57</v>
      </c>
      <c r="AA245" s="81" t="s">
        <v>32</v>
      </c>
      <c r="AB245" s="90" t="s">
        <v>162</v>
      </c>
      <c r="AC245" s="81" t="s">
        <v>65</v>
      </c>
    </row>
    <row r="246" spans="1:29">
      <c r="A246" s="81" t="s">
        <v>93</v>
      </c>
      <c r="B246" s="84">
        <v>46096</v>
      </c>
      <c r="C246" s="83">
        <v>46096</v>
      </c>
      <c r="D246" s="85" t="s">
        <v>169</v>
      </c>
      <c r="E246" s="86">
        <v>0.45833333333333331</v>
      </c>
      <c r="F246" s="86">
        <v>0.54166666666666663</v>
      </c>
      <c r="G246" s="86">
        <v>3.4722222222222218E-4</v>
      </c>
      <c r="H246" s="81" t="s">
        <v>180</v>
      </c>
      <c r="I246" s="87" t="s">
        <v>149</v>
      </c>
      <c r="J246" s="81" t="s">
        <v>136</v>
      </c>
      <c r="K246" s="81"/>
      <c r="L246" s="81">
        <v>1</v>
      </c>
      <c r="M246" s="81">
        <v>69731</v>
      </c>
      <c r="N246" s="81" t="s">
        <v>33</v>
      </c>
      <c r="O246" s="81" t="s">
        <v>161</v>
      </c>
      <c r="P246" s="91">
        <v>37</v>
      </c>
      <c r="Q246" s="81"/>
      <c r="R246" s="91">
        <v>37</v>
      </c>
      <c r="S246" s="89">
        <v>46082</v>
      </c>
      <c r="T246" s="91">
        <v>5.55</v>
      </c>
      <c r="U246" s="90">
        <v>4</v>
      </c>
      <c r="V246" s="91">
        <v>31.45</v>
      </c>
      <c r="W246" s="81" t="s">
        <v>85</v>
      </c>
      <c r="X246" s="81" t="s">
        <v>76</v>
      </c>
      <c r="Y246" s="81" t="s">
        <v>6</v>
      </c>
      <c r="Z246" s="81" t="s">
        <v>57</v>
      </c>
      <c r="AA246" s="81" t="s">
        <v>32</v>
      </c>
      <c r="AB246" s="90" t="s">
        <v>162</v>
      </c>
      <c r="AC246" s="81" t="s">
        <v>65</v>
      </c>
    </row>
    <row r="247" spans="1:29">
      <c r="A247" s="81" t="s">
        <v>93</v>
      </c>
      <c r="B247" s="84">
        <v>46110</v>
      </c>
      <c r="C247" s="83">
        <v>46110</v>
      </c>
      <c r="D247" s="85" t="s">
        <v>169</v>
      </c>
      <c r="E247" s="86">
        <v>0.45833333333333331</v>
      </c>
      <c r="F247" s="86">
        <v>0.54166666666666663</v>
      </c>
      <c r="G247" s="86">
        <v>3.4722222222222218E-4</v>
      </c>
      <c r="H247" s="81" t="s">
        <v>180</v>
      </c>
      <c r="I247" s="87" t="s">
        <v>149</v>
      </c>
      <c r="J247" s="81" t="s">
        <v>136</v>
      </c>
      <c r="K247" s="81"/>
      <c r="L247" s="81">
        <v>1</v>
      </c>
      <c r="M247" s="81">
        <v>69731</v>
      </c>
      <c r="N247" s="81" t="s">
        <v>33</v>
      </c>
      <c r="O247" s="81" t="s">
        <v>161</v>
      </c>
      <c r="P247" s="91">
        <v>37</v>
      </c>
      <c r="Q247" s="81"/>
      <c r="R247" s="91">
        <v>37</v>
      </c>
      <c r="S247" s="89">
        <v>46082</v>
      </c>
      <c r="T247" s="91">
        <v>5.55</v>
      </c>
      <c r="U247" s="90">
        <v>4</v>
      </c>
      <c r="V247" s="91">
        <v>31.45</v>
      </c>
      <c r="W247" s="81" t="s">
        <v>85</v>
      </c>
      <c r="X247" s="81" t="s">
        <v>76</v>
      </c>
      <c r="Y247" s="81" t="s">
        <v>6</v>
      </c>
      <c r="Z247" s="81" t="s">
        <v>57</v>
      </c>
      <c r="AA247" s="81" t="s">
        <v>32</v>
      </c>
      <c r="AB247" s="90" t="s">
        <v>162</v>
      </c>
      <c r="AC247" s="81" t="s">
        <v>65</v>
      </c>
    </row>
    <row r="248" spans="1:29">
      <c r="A248" s="81" t="s">
        <v>93</v>
      </c>
      <c r="B248" s="84">
        <v>46108</v>
      </c>
      <c r="C248" s="83">
        <v>46108</v>
      </c>
      <c r="D248" s="85" t="s">
        <v>166</v>
      </c>
      <c r="E248" s="86">
        <v>0.25</v>
      </c>
      <c r="F248" s="86">
        <v>0.99930555555555556</v>
      </c>
      <c r="G248" s="86">
        <v>3.4722222222222218E-4</v>
      </c>
      <c r="H248" s="81" t="s">
        <v>180</v>
      </c>
      <c r="I248" s="87" t="s">
        <v>96</v>
      </c>
      <c r="J248" s="81" t="s">
        <v>78</v>
      </c>
      <c r="K248" s="81"/>
      <c r="L248" s="81">
        <v>1</v>
      </c>
      <c r="M248" s="81">
        <v>69732</v>
      </c>
      <c r="N248" s="81" t="s">
        <v>71</v>
      </c>
      <c r="O248" s="81" t="s">
        <v>161</v>
      </c>
      <c r="P248" s="91">
        <v>0</v>
      </c>
      <c r="Q248" s="81"/>
      <c r="R248" s="91">
        <v>0</v>
      </c>
      <c r="S248" s="89">
        <v>46082</v>
      </c>
      <c r="T248" s="91">
        <v>0</v>
      </c>
      <c r="U248" s="90">
        <v>4</v>
      </c>
      <c r="V248" s="91">
        <v>0</v>
      </c>
      <c r="W248" s="81" t="s">
        <v>85</v>
      </c>
      <c r="X248" s="81" t="s">
        <v>76</v>
      </c>
      <c r="Y248" s="81" t="s">
        <v>6</v>
      </c>
      <c r="Z248" s="81" t="s">
        <v>57</v>
      </c>
      <c r="AA248" s="81" t="s">
        <v>32</v>
      </c>
      <c r="AB248" s="90" t="s">
        <v>162</v>
      </c>
      <c r="AC248" s="81" t="s">
        <v>65</v>
      </c>
    </row>
    <row r="249" spans="1:29">
      <c r="A249" s="81" t="s">
        <v>93</v>
      </c>
      <c r="B249" s="84">
        <v>46093</v>
      </c>
      <c r="C249" s="83">
        <v>46093</v>
      </c>
      <c r="D249" s="85" t="s">
        <v>165</v>
      </c>
      <c r="E249" s="86">
        <v>0.25</v>
      </c>
      <c r="F249" s="86">
        <v>0.99930555555555556</v>
      </c>
      <c r="G249" s="86">
        <v>3.4722222222222218E-4</v>
      </c>
      <c r="H249" s="81" t="s">
        <v>180</v>
      </c>
      <c r="I249" s="87" t="s">
        <v>97</v>
      </c>
      <c r="J249" s="81" t="s">
        <v>78</v>
      </c>
      <c r="K249" s="81"/>
      <c r="L249" s="81">
        <v>1</v>
      </c>
      <c r="M249" s="81">
        <v>69732</v>
      </c>
      <c r="N249" s="81" t="s">
        <v>71</v>
      </c>
      <c r="O249" s="81" t="s">
        <v>161</v>
      </c>
      <c r="P249" s="91">
        <v>0</v>
      </c>
      <c r="Q249" s="81"/>
      <c r="R249" s="91">
        <v>0</v>
      </c>
      <c r="S249" s="89">
        <v>46082</v>
      </c>
      <c r="T249" s="91">
        <v>0</v>
      </c>
      <c r="U249" s="90">
        <v>4</v>
      </c>
      <c r="V249" s="91">
        <v>0</v>
      </c>
      <c r="W249" s="81" t="s">
        <v>85</v>
      </c>
      <c r="X249" s="81" t="s">
        <v>76</v>
      </c>
      <c r="Y249" s="81" t="s">
        <v>6</v>
      </c>
      <c r="Z249" s="81" t="s">
        <v>57</v>
      </c>
      <c r="AA249" s="81" t="s">
        <v>32</v>
      </c>
      <c r="AB249" s="90" t="s">
        <v>162</v>
      </c>
      <c r="AC249" s="81" t="s">
        <v>65</v>
      </c>
    </row>
    <row r="250" spans="1:29">
      <c r="A250" s="81" t="s">
        <v>93</v>
      </c>
      <c r="B250" s="84">
        <v>46100</v>
      </c>
      <c r="C250" s="83">
        <v>46100</v>
      </c>
      <c r="D250" s="85" t="s">
        <v>165</v>
      </c>
      <c r="E250" s="86">
        <v>0.25</v>
      </c>
      <c r="F250" s="86">
        <v>0.99930555555555556</v>
      </c>
      <c r="G250" s="86">
        <v>3.4722222222222218E-4</v>
      </c>
      <c r="H250" s="81" t="s">
        <v>180</v>
      </c>
      <c r="I250" s="87" t="s">
        <v>97</v>
      </c>
      <c r="J250" s="81" t="s">
        <v>78</v>
      </c>
      <c r="K250" s="81"/>
      <c r="L250" s="81">
        <v>1</v>
      </c>
      <c r="M250" s="81">
        <v>69732</v>
      </c>
      <c r="N250" s="81" t="s">
        <v>71</v>
      </c>
      <c r="O250" s="81" t="s">
        <v>161</v>
      </c>
      <c r="P250" s="91">
        <v>0</v>
      </c>
      <c r="Q250" s="81"/>
      <c r="R250" s="91">
        <v>0</v>
      </c>
      <c r="S250" s="89">
        <v>46082</v>
      </c>
      <c r="T250" s="91">
        <v>0</v>
      </c>
      <c r="U250" s="90">
        <v>4</v>
      </c>
      <c r="V250" s="91">
        <v>0</v>
      </c>
      <c r="W250" s="81" t="s">
        <v>85</v>
      </c>
      <c r="X250" s="81" t="s">
        <v>76</v>
      </c>
      <c r="Y250" s="81" t="s">
        <v>6</v>
      </c>
      <c r="Z250" s="81" t="s">
        <v>57</v>
      </c>
      <c r="AA250" s="81" t="s">
        <v>32</v>
      </c>
      <c r="AB250" s="90" t="s">
        <v>162</v>
      </c>
      <c r="AC250" s="81" t="s">
        <v>65</v>
      </c>
    </row>
    <row r="251" spans="1:29">
      <c r="A251" s="81" t="s">
        <v>93</v>
      </c>
      <c r="B251" s="84">
        <v>46107</v>
      </c>
      <c r="C251" s="83">
        <v>46107</v>
      </c>
      <c r="D251" s="85" t="s">
        <v>165</v>
      </c>
      <c r="E251" s="86">
        <v>0.25</v>
      </c>
      <c r="F251" s="86">
        <v>0.99930555555555556</v>
      </c>
      <c r="G251" s="86">
        <v>3.4722222222222218E-4</v>
      </c>
      <c r="H251" s="81" t="s">
        <v>180</v>
      </c>
      <c r="I251" s="87" t="s">
        <v>99</v>
      </c>
      <c r="J251" s="81" t="s">
        <v>78</v>
      </c>
      <c r="K251" s="81"/>
      <c r="L251" s="81">
        <v>1</v>
      </c>
      <c r="M251" s="81">
        <v>69732</v>
      </c>
      <c r="N251" s="81" t="s">
        <v>71</v>
      </c>
      <c r="O251" s="81" t="s">
        <v>161</v>
      </c>
      <c r="P251" s="91">
        <v>0</v>
      </c>
      <c r="Q251" s="81"/>
      <c r="R251" s="91">
        <v>0</v>
      </c>
      <c r="S251" s="89">
        <v>46082</v>
      </c>
      <c r="T251" s="91">
        <v>0</v>
      </c>
      <c r="U251" s="90">
        <v>4</v>
      </c>
      <c r="V251" s="91">
        <v>0</v>
      </c>
      <c r="W251" s="81" t="s">
        <v>85</v>
      </c>
      <c r="X251" s="81" t="s">
        <v>76</v>
      </c>
      <c r="Y251" s="81" t="s">
        <v>6</v>
      </c>
      <c r="Z251" s="81" t="s">
        <v>57</v>
      </c>
      <c r="AA251" s="81" t="s">
        <v>32</v>
      </c>
      <c r="AB251" s="90" t="s">
        <v>162</v>
      </c>
      <c r="AC251" s="81" t="s">
        <v>65</v>
      </c>
    </row>
    <row r="252" spans="1:29">
      <c r="A252" s="81" t="s">
        <v>93</v>
      </c>
      <c r="B252" s="84">
        <v>46090</v>
      </c>
      <c r="C252" s="83">
        <v>46090</v>
      </c>
      <c r="D252" s="85" t="s">
        <v>160</v>
      </c>
      <c r="E252" s="86">
        <v>0.25</v>
      </c>
      <c r="F252" s="86">
        <v>0.99930555555555556</v>
      </c>
      <c r="G252" s="86">
        <v>3.4722222222222218E-4</v>
      </c>
      <c r="H252" s="81" t="s">
        <v>180</v>
      </c>
      <c r="I252" s="87" t="s">
        <v>103</v>
      </c>
      <c r="J252" s="81" t="s">
        <v>78</v>
      </c>
      <c r="K252" s="81"/>
      <c r="L252" s="81">
        <v>1</v>
      </c>
      <c r="M252" s="81">
        <v>69732</v>
      </c>
      <c r="N252" s="81" t="s">
        <v>71</v>
      </c>
      <c r="O252" s="81" t="s">
        <v>161</v>
      </c>
      <c r="P252" s="91">
        <v>0</v>
      </c>
      <c r="Q252" s="81"/>
      <c r="R252" s="91">
        <v>0</v>
      </c>
      <c r="S252" s="89">
        <v>46082</v>
      </c>
      <c r="T252" s="91">
        <v>0</v>
      </c>
      <c r="U252" s="90">
        <v>4</v>
      </c>
      <c r="V252" s="91">
        <v>0</v>
      </c>
      <c r="W252" s="81" t="s">
        <v>85</v>
      </c>
      <c r="X252" s="81" t="s">
        <v>76</v>
      </c>
      <c r="Y252" s="81" t="s">
        <v>6</v>
      </c>
      <c r="Z252" s="81" t="s">
        <v>57</v>
      </c>
      <c r="AA252" s="81" t="s">
        <v>32</v>
      </c>
      <c r="AB252" s="90" t="s">
        <v>162</v>
      </c>
      <c r="AC252" s="81" t="s">
        <v>65</v>
      </c>
    </row>
    <row r="253" spans="1:29">
      <c r="A253" s="81" t="s">
        <v>93</v>
      </c>
      <c r="B253" s="84">
        <v>46098</v>
      </c>
      <c r="C253" s="83">
        <v>46098</v>
      </c>
      <c r="D253" s="85" t="s">
        <v>163</v>
      </c>
      <c r="E253" s="86">
        <v>0.25</v>
      </c>
      <c r="F253" s="86">
        <v>0.99930555555555556</v>
      </c>
      <c r="G253" s="86">
        <v>3.4722222222222218E-4</v>
      </c>
      <c r="H253" s="81" t="s">
        <v>180</v>
      </c>
      <c r="I253" s="87" t="s">
        <v>103</v>
      </c>
      <c r="J253" s="81" t="s">
        <v>78</v>
      </c>
      <c r="K253" s="81"/>
      <c r="L253" s="81">
        <v>1</v>
      </c>
      <c r="M253" s="81">
        <v>69732</v>
      </c>
      <c r="N253" s="81" t="s">
        <v>71</v>
      </c>
      <c r="O253" s="81" t="s">
        <v>161</v>
      </c>
      <c r="P253" s="91">
        <v>0</v>
      </c>
      <c r="Q253" s="81"/>
      <c r="R253" s="91">
        <v>0</v>
      </c>
      <c r="S253" s="89">
        <v>46082</v>
      </c>
      <c r="T253" s="91">
        <v>0</v>
      </c>
      <c r="U253" s="90">
        <v>4</v>
      </c>
      <c r="V253" s="91">
        <v>0</v>
      </c>
      <c r="W253" s="81" t="s">
        <v>85</v>
      </c>
      <c r="X253" s="81" t="s">
        <v>76</v>
      </c>
      <c r="Y253" s="81" t="s">
        <v>6</v>
      </c>
      <c r="Z253" s="81" t="s">
        <v>57</v>
      </c>
      <c r="AA253" s="81" t="s">
        <v>32</v>
      </c>
      <c r="AB253" s="90" t="s">
        <v>162</v>
      </c>
      <c r="AC253" s="81" t="s">
        <v>65</v>
      </c>
    </row>
    <row r="254" spans="1:29">
      <c r="A254" s="81" t="s">
        <v>93</v>
      </c>
      <c r="B254" s="84">
        <v>46092</v>
      </c>
      <c r="C254" s="83">
        <v>46092</v>
      </c>
      <c r="D254" s="85" t="s">
        <v>164</v>
      </c>
      <c r="E254" s="86">
        <v>0.25</v>
      </c>
      <c r="F254" s="86">
        <v>0.99930555555555556</v>
      </c>
      <c r="G254" s="86">
        <v>3.4722222222222218E-4</v>
      </c>
      <c r="H254" s="81" t="s">
        <v>180</v>
      </c>
      <c r="I254" s="87" t="s">
        <v>104</v>
      </c>
      <c r="J254" s="81" t="s">
        <v>78</v>
      </c>
      <c r="K254" s="81"/>
      <c r="L254" s="81">
        <v>1</v>
      </c>
      <c r="M254" s="81">
        <v>69732</v>
      </c>
      <c r="N254" s="81" t="s">
        <v>71</v>
      </c>
      <c r="O254" s="81" t="s">
        <v>161</v>
      </c>
      <c r="P254" s="91">
        <v>0</v>
      </c>
      <c r="Q254" s="81"/>
      <c r="R254" s="91">
        <v>0</v>
      </c>
      <c r="S254" s="89">
        <v>46082</v>
      </c>
      <c r="T254" s="91">
        <v>0</v>
      </c>
      <c r="U254" s="90">
        <v>4</v>
      </c>
      <c r="V254" s="91">
        <v>0</v>
      </c>
      <c r="W254" s="81" t="s">
        <v>85</v>
      </c>
      <c r="X254" s="81" t="s">
        <v>76</v>
      </c>
      <c r="Y254" s="81" t="s">
        <v>6</v>
      </c>
      <c r="Z254" s="81" t="s">
        <v>57</v>
      </c>
      <c r="AA254" s="81" t="s">
        <v>32</v>
      </c>
      <c r="AB254" s="90" t="s">
        <v>162</v>
      </c>
      <c r="AC254" s="81" t="s">
        <v>65</v>
      </c>
    </row>
    <row r="255" spans="1:29">
      <c r="A255" s="81" t="s">
        <v>93</v>
      </c>
      <c r="B255" s="84">
        <v>46094</v>
      </c>
      <c r="C255" s="83">
        <v>46094</v>
      </c>
      <c r="D255" s="85" t="s">
        <v>166</v>
      </c>
      <c r="E255" s="86">
        <v>0.25</v>
      </c>
      <c r="F255" s="86">
        <v>0.99930555555555556</v>
      </c>
      <c r="G255" s="86">
        <v>3.4722222222222218E-4</v>
      </c>
      <c r="H255" s="81" t="s">
        <v>180</v>
      </c>
      <c r="I255" s="87" t="s">
        <v>105</v>
      </c>
      <c r="J255" s="81" t="s">
        <v>78</v>
      </c>
      <c r="K255" s="81"/>
      <c r="L255" s="81">
        <v>1</v>
      </c>
      <c r="M255" s="81">
        <v>69732</v>
      </c>
      <c r="N255" s="81" t="s">
        <v>71</v>
      </c>
      <c r="O255" s="81" t="s">
        <v>161</v>
      </c>
      <c r="P255" s="91">
        <v>0</v>
      </c>
      <c r="Q255" s="81"/>
      <c r="R255" s="91">
        <v>0</v>
      </c>
      <c r="S255" s="89">
        <v>46082</v>
      </c>
      <c r="T255" s="91">
        <v>0</v>
      </c>
      <c r="U255" s="90">
        <v>4</v>
      </c>
      <c r="V255" s="91">
        <v>0</v>
      </c>
      <c r="W255" s="81" t="s">
        <v>85</v>
      </c>
      <c r="X255" s="81" t="s">
        <v>76</v>
      </c>
      <c r="Y255" s="81" t="s">
        <v>6</v>
      </c>
      <c r="Z255" s="81" t="s">
        <v>57</v>
      </c>
      <c r="AA255" s="81" t="s">
        <v>32</v>
      </c>
      <c r="AB255" s="90" t="s">
        <v>162</v>
      </c>
      <c r="AC255" s="81" t="s">
        <v>65</v>
      </c>
    </row>
    <row r="256" spans="1:29">
      <c r="A256" s="81" t="s">
        <v>93</v>
      </c>
      <c r="B256" s="84">
        <v>46104</v>
      </c>
      <c r="C256" s="83">
        <v>46104</v>
      </c>
      <c r="D256" s="85" t="s">
        <v>160</v>
      </c>
      <c r="E256" s="86">
        <v>0.25</v>
      </c>
      <c r="F256" s="86">
        <v>0.99930555555555556</v>
      </c>
      <c r="G256" s="86">
        <v>3.4722222222222218E-4</v>
      </c>
      <c r="H256" s="81" t="s">
        <v>180</v>
      </c>
      <c r="I256" s="87" t="s">
        <v>107</v>
      </c>
      <c r="J256" s="81" t="s">
        <v>78</v>
      </c>
      <c r="K256" s="81"/>
      <c r="L256" s="81">
        <v>1</v>
      </c>
      <c r="M256" s="81">
        <v>69732</v>
      </c>
      <c r="N256" s="81" t="s">
        <v>71</v>
      </c>
      <c r="O256" s="81" t="s">
        <v>161</v>
      </c>
      <c r="P256" s="91">
        <v>0</v>
      </c>
      <c r="Q256" s="81"/>
      <c r="R256" s="91">
        <v>0</v>
      </c>
      <c r="S256" s="89">
        <v>46082</v>
      </c>
      <c r="T256" s="91">
        <v>0</v>
      </c>
      <c r="U256" s="90">
        <v>4</v>
      </c>
      <c r="V256" s="91">
        <v>0</v>
      </c>
      <c r="W256" s="81" t="s">
        <v>85</v>
      </c>
      <c r="X256" s="81" t="s">
        <v>76</v>
      </c>
      <c r="Y256" s="81" t="s">
        <v>6</v>
      </c>
      <c r="Z256" s="81" t="s">
        <v>57</v>
      </c>
      <c r="AA256" s="81" t="s">
        <v>32</v>
      </c>
      <c r="AB256" s="90" t="s">
        <v>162</v>
      </c>
      <c r="AC256" s="81" t="s">
        <v>65</v>
      </c>
    </row>
    <row r="257" spans="1:29">
      <c r="A257" s="81" t="s">
        <v>93</v>
      </c>
      <c r="B257" s="84">
        <v>46097</v>
      </c>
      <c r="C257" s="83">
        <v>46097</v>
      </c>
      <c r="D257" s="85" t="s">
        <v>160</v>
      </c>
      <c r="E257" s="86">
        <v>0.25</v>
      </c>
      <c r="F257" s="86">
        <v>0.99930555555555556</v>
      </c>
      <c r="G257" s="86">
        <v>3.4722222222222218E-4</v>
      </c>
      <c r="H257" s="81" t="s">
        <v>180</v>
      </c>
      <c r="I257" s="87" t="s">
        <v>132</v>
      </c>
      <c r="J257" s="81" t="s">
        <v>78</v>
      </c>
      <c r="K257" s="81"/>
      <c r="L257" s="81">
        <v>1</v>
      </c>
      <c r="M257" s="81">
        <v>69732</v>
      </c>
      <c r="N257" s="81" t="s">
        <v>71</v>
      </c>
      <c r="O257" s="81" t="s">
        <v>161</v>
      </c>
      <c r="P257" s="91">
        <v>0</v>
      </c>
      <c r="Q257" s="81"/>
      <c r="R257" s="91">
        <v>0</v>
      </c>
      <c r="S257" s="89">
        <v>46082</v>
      </c>
      <c r="T257" s="91">
        <v>0</v>
      </c>
      <c r="U257" s="90">
        <v>4</v>
      </c>
      <c r="V257" s="91">
        <v>0</v>
      </c>
      <c r="W257" s="81" t="s">
        <v>85</v>
      </c>
      <c r="X257" s="81" t="s">
        <v>76</v>
      </c>
      <c r="Y257" s="81" t="s">
        <v>6</v>
      </c>
      <c r="Z257" s="81" t="s">
        <v>57</v>
      </c>
      <c r="AA257" s="81" t="s">
        <v>32</v>
      </c>
      <c r="AB257" s="90" t="s">
        <v>162</v>
      </c>
      <c r="AC257" s="81" t="s">
        <v>65</v>
      </c>
    </row>
    <row r="258" spans="1:29">
      <c r="A258" s="81" t="s">
        <v>93</v>
      </c>
      <c r="B258" s="84">
        <v>46101</v>
      </c>
      <c r="C258" s="83">
        <v>46101</v>
      </c>
      <c r="D258" s="85" t="s">
        <v>166</v>
      </c>
      <c r="E258" s="86">
        <v>0.25</v>
      </c>
      <c r="F258" s="86">
        <v>0.99930555555555556</v>
      </c>
      <c r="G258" s="86">
        <v>3.4722222222222218E-4</v>
      </c>
      <c r="H258" s="81" t="s">
        <v>180</v>
      </c>
      <c r="I258" s="87" t="s">
        <v>133</v>
      </c>
      <c r="J258" s="81" t="s">
        <v>78</v>
      </c>
      <c r="K258" s="81"/>
      <c r="L258" s="81">
        <v>1</v>
      </c>
      <c r="M258" s="81">
        <v>69732</v>
      </c>
      <c r="N258" s="81" t="s">
        <v>71</v>
      </c>
      <c r="O258" s="81" t="s">
        <v>161</v>
      </c>
      <c r="P258" s="91">
        <v>0</v>
      </c>
      <c r="Q258" s="81"/>
      <c r="R258" s="91">
        <v>0</v>
      </c>
      <c r="S258" s="89">
        <v>46082</v>
      </c>
      <c r="T258" s="91">
        <v>0</v>
      </c>
      <c r="U258" s="90">
        <v>4</v>
      </c>
      <c r="V258" s="91">
        <v>0</v>
      </c>
      <c r="W258" s="81" t="s">
        <v>85</v>
      </c>
      <c r="X258" s="81" t="s">
        <v>76</v>
      </c>
      <c r="Y258" s="81" t="s">
        <v>6</v>
      </c>
      <c r="Z258" s="81" t="s">
        <v>57</v>
      </c>
      <c r="AA258" s="81" t="s">
        <v>32</v>
      </c>
      <c r="AB258" s="90" t="s">
        <v>162</v>
      </c>
      <c r="AC258" s="81" t="s">
        <v>65</v>
      </c>
    </row>
    <row r="259" spans="1:29">
      <c r="A259" s="81" t="s">
        <v>93</v>
      </c>
      <c r="B259" s="84">
        <v>46098</v>
      </c>
      <c r="C259" s="83">
        <v>46098</v>
      </c>
      <c r="D259" s="85" t="s">
        <v>163</v>
      </c>
      <c r="E259" s="86">
        <v>0.25</v>
      </c>
      <c r="F259" s="86">
        <v>0.99930555555555556</v>
      </c>
      <c r="G259" s="86">
        <v>3.4722222222222218E-4</v>
      </c>
      <c r="H259" s="81" t="s">
        <v>180</v>
      </c>
      <c r="I259" s="87" t="s">
        <v>170</v>
      </c>
      <c r="J259" s="81" t="s">
        <v>78</v>
      </c>
      <c r="K259" s="81"/>
      <c r="L259" s="81">
        <v>1</v>
      </c>
      <c r="M259" s="81">
        <v>69732</v>
      </c>
      <c r="N259" s="81" t="s">
        <v>71</v>
      </c>
      <c r="O259" s="81" t="s">
        <v>161</v>
      </c>
      <c r="P259" s="91">
        <v>0</v>
      </c>
      <c r="Q259" s="81"/>
      <c r="R259" s="91">
        <v>0</v>
      </c>
      <c r="S259" s="89">
        <v>46082</v>
      </c>
      <c r="T259" s="91">
        <v>0</v>
      </c>
      <c r="U259" s="90">
        <v>4</v>
      </c>
      <c r="V259" s="91">
        <v>0</v>
      </c>
      <c r="W259" s="81" t="s">
        <v>85</v>
      </c>
      <c r="X259" s="81" t="s">
        <v>76</v>
      </c>
      <c r="Y259" s="81" t="s">
        <v>6</v>
      </c>
      <c r="Z259" s="81" t="s">
        <v>57</v>
      </c>
      <c r="AA259" s="81" t="s">
        <v>32</v>
      </c>
      <c r="AB259" s="90" t="s">
        <v>162</v>
      </c>
      <c r="AC259" s="81" t="s">
        <v>65</v>
      </c>
    </row>
    <row r="260" spans="1:29">
      <c r="A260" s="81" t="s">
        <v>93</v>
      </c>
      <c r="B260" s="84">
        <v>46090</v>
      </c>
      <c r="C260" s="83">
        <v>46090</v>
      </c>
      <c r="D260" s="85" t="s">
        <v>160</v>
      </c>
      <c r="E260" s="86">
        <v>0.25</v>
      </c>
      <c r="F260" s="86">
        <v>0.99930555555555556</v>
      </c>
      <c r="G260" s="86">
        <v>3.4722222222222218E-4</v>
      </c>
      <c r="H260" s="81" t="s">
        <v>180</v>
      </c>
      <c r="I260" s="87" t="s">
        <v>134</v>
      </c>
      <c r="J260" s="81" t="s">
        <v>78</v>
      </c>
      <c r="K260" s="81"/>
      <c r="L260" s="81">
        <v>1</v>
      </c>
      <c r="M260" s="81">
        <v>69732</v>
      </c>
      <c r="N260" s="81" t="s">
        <v>71</v>
      </c>
      <c r="O260" s="81" t="s">
        <v>161</v>
      </c>
      <c r="P260" s="91">
        <v>0</v>
      </c>
      <c r="Q260" s="81"/>
      <c r="R260" s="91">
        <v>0</v>
      </c>
      <c r="S260" s="89">
        <v>46082</v>
      </c>
      <c r="T260" s="91">
        <v>0</v>
      </c>
      <c r="U260" s="90">
        <v>4</v>
      </c>
      <c r="V260" s="91">
        <v>0</v>
      </c>
      <c r="W260" s="81" t="s">
        <v>85</v>
      </c>
      <c r="X260" s="81" t="s">
        <v>76</v>
      </c>
      <c r="Y260" s="81" t="s">
        <v>6</v>
      </c>
      <c r="Z260" s="81" t="s">
        <v>57</v>
      </c>
      <c r="AA260" s="81" t="s">
        <v>32</v>
      </c>
      <c r="AB260" s="90" t="s">
        <v>162</v>
      </c>
      <c r="AC260" s="81" t="s">
        <v>65</v>
      </c>
    </row>
    <row r="261" spans="1:29">
      <c r="A261" s="81" t="s">
        <v>93</v>
      </c>
      <c r="B261" s="84">
        <v>46110</v>
      </c>
      <c r="C261" s="83">
        <v>46110</v>
      </c>
      <c r="D261" s="85" t="s">
        <v>169</v>
      </c>
      <c r="E261" s="86">
        <v>0.25</v>
      </c>
      <c r="F261" s="86">
        <v>0.99930555555555556</v>
      </c>
      <c r="G261" s="86">
        <v>3.4722222222222218E-4</v>
      </c>
      <c r="H261" s="81" t="s">
        <v>180</v>
      </c>
      <c r="I261" s="87" t="s">
        <v>109</v>
      </c>
      <c r="J261" s="81" t="s">
        <v>78</v>
      </c>
      <c r="K261" s="81"/>
      <c r="L261" s="81">
        <v>1</v>
      </c>
      <c r="M261" s="81">
        <v>69732</v>
      </c>
      <c r="N261" s="81" t="s">
        <v>71</v>
      </c>
      <c r="O261" s="81" t="s">
        <v>161</v>
      </c>
      <c r="P261" s="91">
        <v>0</v>
      </c>
      <c r="Q261" s="81"/>
      <c r="R261" s="91">
        <v>0</v>
      </c>
      <c r="S261" s="89">
        <v>46082</v>
      </c>
      <c r="T261" s="91">
        <v>0</v>
      </c>
      <c r="U261" s="90">
        <v>4</v>
      </c>
      <c r="V261" s="91">
        <v>0</v>
      </c>
      <c r="W261" s="81" t="s">
        <v>85</v>
      </c>
      <c r="X261" s="81" t="s">
        <v>76</v>
      </c>
      <c r="Y261" s="81" t="s">
        <v>6</v>
      </c>
      <c r="Z261" s="81" t="s">
        <v>57</v>
      </c>
      <c r="AA261" s="81" t="s">
        <v>32</v>
      </c>
      <c r="AB261" s="90" t="s">
        <v>162</v>
      </c>
      <c r="AC261" s="81" t="s">
        <v>65</v>
      </c>
    </row>
    <row r="262" spans="1:29">
      <c r="A262" s="81" t="s">
        <v>93</v>
      </c>
      <c r="B262" s="84">
        <v>46109</v>
      </c>
      <c r="C262" s="83">
        <v>46109</v>
      </c>
      <c r="D262" s="85" t="s">
        <v>168</v>
      </c>
      <c r="E262" s="86">
        <v>0.25</v>
      </c>
      <c r="F262" s="86">
        <v>0.99930555555555556</v>
      </c>
      <c r="G262" s="86">
        <v>3.4722222222222218E-4</v>
      </c>
      <c r="H262" s="81" t="s">
        <v>180</v>
      </c>
      <c r="I262" s="87" t="s">
        <v>110</v>
      </c>
      <c r="J262" s="81" t="s">
        <v>78</v>
      </c>
      <c r="K262" s="81"/>
      <c r="L262" s="81">
        <v>1</v>
      </c>
      <c r="M262" s="81">
        <v>69732</v>
      </c>
      <c r="N262" s="81" t="s">
        <v>71</v>
      </c>
      <c r="O262" s="81" t="s">
        <v>161</v>
      </c>
      <c r="P262" s="91">
        <v>0</v>
      </c>
      <c r="Q262" s="81"/>
      <c r="R262" s="91">
        <v>0</v>
      </c>
      <c r="S262" s="89">
        <v>46082</v>
      </c>
      <c r="T262" s="91">
        <v>0</v>
      </c>
      <c r="U262" s="90">
        <v>4</v>
      </c>
      <c r="V262" s="91">
        <v>0</v>
      </c>
      <c r="W262" s="81" t="s">
        <v>85</v>
      </c>
      <c r="X262" s="81" t="s">
        <v>76</v>
      </c>
      <c r="Y262" s="81" t="s">
        <v>6</v>
      </c>
      <c r="Z262" s="81" t="s">
        <v>57</v>
      </c>
      <c r="AA262" s="81" t="s">
        <v>32</v>
      </c>
      <c r="AB262" s="90" t="s">
        <v>162</v>
      </c>
      <c r="AC262" s="81" t="s">
        <v>65</v>
      </c>
    </row>
    <row r="263" spans="1:29">
      <c r="A263" s="81" t="s">
        <v>93</v>
      </c>
      <c r="B263" s="84">
        <v>46103</v>
      </c>
      <c r="C263" s="83">
        <v>46103</v>
      </c>
      <c r="D263" s="85" t="s">
        <v>169</v>
      </c>
      <c r="E263" s="86">
        <v>0.25</v>
      </c>
      <c r="F263" s="86">
        <v>0.99930555555555556</v>
      </c>
      <c r="G263" s="86">
        <v>3.4722222222222218E-4</v>
      </c>
      <c r="H263" s="81" t="s">
        <v>180</v>
      </c>
      <c r="I263" s="87" t="s">
        <v>111</v>
      </c>
      <c r="J263" s="81" t="s">
        <v>78</v>
      </c>
      <c r="K263" s="81"/>
      <c r="L263" s="81">
        <v>1</v>
      </c>
      <c r="M263" s="81">
        <v>69732</v>
      </c>
      <c r="N263" s="81" t="s">
        <v>71</v>
      </c>
      <c r="O263" s="81" t="s">
        <v>161</v>
      </c>
      <c r="P263" s="91">
        <v>0</v>
      </c>
      <c r="Q263" s="81"/>
      <c r="R263" s="91">
        <v>0</v>
      </c>
      <c r="S263" s="89">
        <v>46082</v>
      </c>
      <c r="T263" s="91">
        <v>0</v>
      </c>
      <c r="U263" s="90">
        <v>4</v>
      </c>
      <c r="V263" s="91">
        <v>0</v>
      </c>
      <c r="W263" s="81" t="s">
        <v>85</v>
      </c>
      <c r="X263" s="81" t="s">
        <v>76</v>
      </c>
      <c r="Y263" s="81" t="s">
        <v>6</v>
      </c>
      <c r="Z263" s="81" t="s">
        <v>57</v>
      </c>
      <c r="AA263" s="81" t="s">
        <v>32</v>
      </c>
      <c r="AB263" s="90" t="s">
        <v>162</v>
      </c>
      <c r="AC263" s="81" t="s">
        <v>65</v>
      </c>
    </row>
    <row r="264" spans="1:29">
      <c r="A264" s="81" t="s">
        <v>93</v>
      </c>
      <c r="B264" s="84">
        <v>46110</v>
      </c>
      <c r="C264" s="83">
        <v>46110</v>
      </c>
      <c r="D264" s="85" t="s">
        <v>169</v>
      </c>
      <c r="E264" s="86">
        <v>0.25</v>
      </c>
      <c r="F264" s="86">
        <v>0.99930555555555556</v>
      </c>
      <c r="G264" s="86">
        <v>3.4722222222222218E-4</v>
      </c>
      <c r="H264" s="81" t="s">
        <v>180</v>
      </c>
      <c r="I264" s="87" t="s">
        <v>111</v>
      </c>
      <c r="J264" s="81" t="s">
        <v>78</v>
      </c>
      <c r="K264" s="81"/>
      <c r="L264" s="81">
        <v>1</v>
      </c>
      <c r="M264" s="81">
        <v>69732</v>
      </c>
      <c r="N264" s="81" t="s">
        <v>71</v>
      </c>
      <c r="O264" s="81" t="s">
        <v>161</v>
      </c>
      <c r="P264" s="91">
        <v>0</v>
      </c>
      <c r="Q264" s="81"/>
      <c r="R264" s="91">
        <v>0</v>
      </c>
      <c r="S264" s="89">
        <v>46082</v>
      </c>
      <c r="T264" s="91">
        <v>0</v>
      </c>
      <c r="U264" s="90">
        <v>4</v>
      </c>
      <c r="V264" s="91">
        <v>0</v>
      </c>
      <c r="W264" s="81" t="s">
        <v>85</v>
      </c>
      <c r="X264" s="81" t="s">
        <v>76</v>
      </c>
      <c r="Y264" s="81" t="s">
        <v>6</v>
      </c>
      <c r="Z264" s="81" t="s">
        <v>57</v>
      </c>
      <c r="AA264" s="81" t="s">
        <v>32</v>
      </c>
      <c r="AB264" s="90" t="s">
        <v>162</v>
      </c>
      <c r="AC264" s="81" t="s">
        <v>65</v>
      </c>
    </row>
    <row r="265" spans="1:29">
      <c r="A265" s="81" t="s">
        <v>93</v>
      </c>
      <c r="B265" s="84">
        <v>46094</v>
      </c>
      <c r="C265" s="83">
        <v>46094</v>
      </c>
      <c r="D265" s="85" t="s">
        <v>166</v>
      </c>
      <c r="E265" s="86">
        <v>0.25</v>
      </c>
      <c r="F265" s="86">
        <v>0.99930555555555556</v>
      </c>
      <c r="G265" s="86">
        <v>3.4722222222222218E-4</v>
      </c>
      <c r="H265" s="81" t="s">
        <v>180</v>
      </c>
      <c r="I265" s="87" t="s">
        <v>112</v>
      </c>
      <c r="J265" s="81" t="s">
        <v>78</v>
      </c>
      <c r="K265" s="81"/>
      <c r="L265" s="81">
        <v>1</v>
      </c>
      <c r="M265" s="81">
        <v>69732</v>
      </c>
      <c r="N265" s="81" t="s">
        <v>71</v>
      </c>
      <c r="O265" s="81" t="s">
        <v>161</v>
      </c>
      <c r="P265" s="91">
        <v>0</v>
      </c>
      <c r="Q265" s="81"/>
      <c r="R265" s="91">
        <v>0</v>
      </c>
      <c r="S265" s="89">
        <v>46082</v>
      </c>
      <c r="T265" s="91">
        <v>0</v>
      </c>
      <c r="U265" s="90">
        <v>4</v>
      </c>
      <c r="V265" s="91">
        <v>0</v>
      </c>
      <c r="W265" s="81" t="s">
        <v>85</v>
      </c>
      <c r="X265" s="81" t="s">
        <v>76</v>
      </c>
      <c r="Y265" s="81" t="s">
        <v>6</v>
      </c>
      <c r="Z265" s="81" t="s">
        <v>57</v>
      </c>
      <c r="AA265" s="81" t="s">
        <v>32</v>
      </c>
      <c r="AB265" s="90" t="s">
        <v>162</v>
      </c>
      <c r="AC265" s="81" t="s">
        <v>65</v>
      </c>
    </row>
    <row r="266" spans="1:29">
      <c r="A266" s="81" t="s">
        <v>93</v>
      </c>
      <c r="B266" s="84">
        <v>46093</v>
      </c>
      <c r="C266" s="83">
        <v>46093</v>
      </c>
      <c r="D266" s="85" t="s">
        <v>165</v>
      </c>
      <c r="E266" s="86">
        <v>0.25</v>
      </c>
      <c r="F266" s="86">
        <v>0.99930555555555556</v>
      </c>
      <c r="G266" s="86">
        <v>3.4722222222222218E-4</v>
      </c>
      <c r="H266" s="81" t="s">
        <v>180</v>
      </c>
      <c r="I266" s="87" t="s">
        <v>113</v>
      </c>
      <c r="J266" s="81" t="s">
        <v>78</v>
      </c>
      <c r="K266" s="81"/>
      <c r="L266" s="81">
        <v>1</v>
      </c>
      <c r="M266" s="81">
        <v>69732</v>
      </c>
      <c r="N266" s="81" t="s">
        <v>71</v>
      </c>
      <c r="O266" s="81" t="s">
        <v>161</v>
      </c>
      <c r="P266" s="91">
        <v>0</v>
      </c>
      <c r="Q266" s="81"/>
      <c r="R266" s="91">
        <v>0</v>
      </c>
      <c r="S266" s="89">
        <v>46082</v>
      </c>
      <c r="T266" s="91">
        <v>0</v>
      </c>
      <c r="U266" s="90">
        <v>4</v>
      </c>
      <c r="V266" s="91">
        <v>0</v>
      </c>
      <c r="W266" s="81" t="s">
        <v>85</v>
      </c>
      <c r="X266" s="81" t="s">
        <v>76</v>
      </c>
      <c r="Y266" s="81" t="s">
        <v>6</v>
      </c>
      <c r="Z266" s="81" t="s">
        <v>57</v>
      </c>
      <c r="AA266" s="81" t="s">
        <v>32</v>
      </c>
      <c r="AB266" s="90" t="s">
        <v>162</v>
      </c>
      <c r="AC266" s="81" t="s">
        <v>65</v>
      </c>
    </row>
    <row r="267" spans="1:29">
      <c r="A267" s="81" t="s">
        <v>93</v>
      </c>
      <c r="B267" s="84">
        <v>46101</v>
      </c>
      <c r="C267" s="83">
        <v>46101</v>
      </c>
      <c r="D267" s="85" t="s">
        <v>166</v>
      </c>
      <c r="E267" s="86">
        <v>0.25</v>
      </c>
      <c r="F267" s="86">
        <v>0.99930555555555556</v>
      </c>
      <c r="G267" s="86">
        <v>3.4722222222222218E-4</v>
      </c>
      <c r="H267" s="81" t="s">
        <v>180</v>
      </c>
      <c r="I267" s="87" t="s">
        <v>114</v>
      </c>
      <c r="J267" s="81" t="s">
        <v>78</v>
      </c>
      <c r="K267" s="81"/>
      <c r="L267" s="81">
        <v>1</v>
      </c>
      <c r="M267" s="81">
        <v>69732</v>
      </c>
      <c r="N267" s="81" t="s">
        <v>71</v>
      </c>
      <c r="O267" s="81" t="s">
        <v>161</v>
      </c>
      <c r="P267" s="91">
        <v>0</v>
      </c>
      <c r="Q267" s="81"/>
      <c r="R267" s="91">
        <v>0</v>
      </c>
      <c r="S267" s="89">
        <v>46082</v>
      </c>
      <c r="T267" s="91">
        <v>0</v>
      </c>
      <c r="U267" s="90">
        <v>4</v>
      </c>
      <c r="V267" s="91">
        <v>0</v>
      </c>
      <c r="W267" s="81" t="s">
        <v>85</v>
      </c>
      <c r="X267" s="81" t="s">
        <v>76</v>
      </c>
      <c r="Y267" s="81" t="s">
        <v>6</v>
      </c>
      <c r="Z267" s="81" t="s">
        <v>57</v>
      </c>
      <c r="AA267" s="81" t="s">
        <v>32</v>
      </c>
      <c r="AB267" s="90" t="s">
        <v>162</v>
      </c>
      <c r="AC267" s="81" t="s">
        <v>65</v>
      </c>
    </row>
    <row r="268" spans="1:29">
      <c r="A268" s="81" t="s">
        <v>93</v>
      </c>
      <c r="B268" s="84">
        <v>46095</v>
      </c>
      <c r="C268" s="83">
        <v>46095</v>
      </c>
      <c r="D268" s="85" t="s">
        <v>168</v>
      </c>
      <c r="E268" s="86">
        <v>0.25</v>
      </c>
      <c r="F268" s="86">
        <v>0.99930555555555556</v>
      </c>
      <c r="G268" s="86">
        <v>3.4722222222222218E-4</v>
      </c>
      <c r="H268" s="81" t="s">
        <v>180</v>
      </c>
      <c r="I268" s="87" t="s">
        <v>126</v>
      </c>
      <c r="J268" s="81" t="s">
        <v>78</v>
      </c>
      <c r="K268" s="81"/>
      <c r="L268" s="81">
        <v>1</v>
      </c>
      <c r="M268" s="81">
        <v>69732</v>
      </c>
      <c r="N268" s="81" t="s">
        <v>71</v>
      </c>
      <c r="O268" s="81" t="s">
        <v>161</v>
      </c>
      <c r="P268" s="91">
        <v>0</v>
      </c>
      <c r="Q268" s="81"/>
      <c r="R268" s="91">
        <v>0</v>
      </c>
      <c r="S268" s="89">
        <v>46082</v>
      </c>
      <c r="T268" s="91">
        <v>0</v>
      </c>
      <c r="U268" s="90">
        <v>4</v>
      </c>
      <c r="V268" s="91">
        <v>0</v>
      </c>
      <c r="W268" s="81" t="s">
        <v>85</v>
      </c>
      <c r="X268" s="81" t="s">
        <v>76</v>
      </c>
      <c r="Y268" s="81" t="s">
        <v>6</v>
      </c>
      <c r="Z268" s="81" t="s">
        <v>57</v>
      </c>
      <c r="AA268" s="81" t="s">
        <v>32</v>
      </c>
      <c r="AB268" s="90" t="s">
        <v>162</v>
      </c>
      <c r="AC268" s="81" t="s">
        <v>65</v>
      </c>
    </row>
    <row r="269" spans="1:29">
      <c r="A269" s="81" t="s">
        <v>93</v>
      </c>
      <c r="B269" s="84">
        <v>46092</v>
      </c>
      <c r="C269" s="83">
        <v>46092</v>
      </c>
      <c r="D269" s="85" t="s">
        <v>164</v>
      </c>
      <c r="E269" s="86">
        <v>0.25</v>
      </c>
      <c r="F269" s="86">
        <v>0.99930555555555556</v>
      </c>
      <c r="G269" s="86">
        <v>3.4722222222222218E-4</v>
      </c>
      <c r="H269" s="81" t="s">
        <v>180</v>
      </c>
      <c r="I269" s="87" t="s">
        <v>115</v>
      </c>
      <c r="J269" s="81" t="s">
        <v>78</v>
      </c>
      <c r="K269" s="81"/>
      <c r="L269" s="81">
        <v>1</v>
      </c>
      <c r="M269" s="81">
        <v>69732</v>
      </c>
      <c r="N269" s="81" t="s">
        <v>71</v>
      </c>
      <c r="O269" s="81" t="s">
        <v>161</v>
      </c>
      <c r="P269" s="91">
        <v>0</v>
      </c>
      <c r="Q269" s="81"/>
      <c r="R269" s="91">
        <v>0</v>
      </c>
      <c r="S269" s="89">
        <v>46082</v>
      </c>
      <c r="T269" s="91">
        <v>0</v>
      </c>
      <c r="U269" s="90">
        <v>4</v>
      </c>
      <c r="V269" s="91">
        <v>0</v>
      </c>
      <c r="W269" s="81" t="s">
        <v>85</v>
      </c>
      <c r="X269" s="81" t="s">
        <v>76</v>
      </c>
      <c r="Y269" s="81" t="s">
        <v>6</v>
      </c>
      <c r="Z269" s="81" t="s">
        <v>57</v>
      </c>
      <c r="AA269" s="81" t="s">
        <v>32</v>
      </c>
      <c r="AB269" s="90" t="s">
        <v>162</v>
      </c>
      <c r="AC269" s="81" t="s">
        <v>65</v>
      </c>
    </row>
    <row r="270" spans="1:29">
      <c r="A270" s="81" t="s">
        <v>93</v>
      </c>
      <c r="B270" s="84">
        <v>46100</v>
      </c>
      <c r="C270" s="83">
        <v>46100</v>
      </c>
      <c r="D270" s="85" t="s">
        <v>165</v>
      </c>
      <c r="E270" s="86">
        <v>0.25</v>
      </c>
      <c r="F270" s="86">
        <v>0.99930555555555556</v>
      </c>
      <c r="G270" s="86">
        <v>3.4722222222222218E-4</v>
      </c>
      <c r="H270" s="81" t="s">
        <v>180</v>
      </c>
      <c r="I270" s="87" t="s">
        <v>115</v>
      </c>
      <c r="J270" s="81" t="s">
        <v>78</v>
      </c>
      <c r="K270" s="81"/>
      <c r="L270" s="81">
        <v>1</v>
      </c>
      <c r="M270" s="81">
        <v>69732</v>
      </c>
      <c r="N270" s="81" t="s">
        <v>71</v>
      </c>
      <c r="O270" s="81" t="s">
        <v>161</v>
      </c>
      <c r="P270" s="91">
        <v>0</v>
      </c>
      <c r="Q270" s="81"/>
      <c r="R270" s="91">
        <v>0</v>
      </c>
      <c r="S270" s="89">
        <v>46082</v>
      </c>
      <c r="T270" s="91">
        <v>0</v>
      </c>
      <c r="U270" s="90">
        <v>4</v>
      </c>
      <c r="V270" s="91">
        <v>0</v>
      </c>
      <c r="W270" s="81" t="s">
        <v>85</v>
      </c>
      <c r="X270" s="81" t="s">
        <v>76</v>
      </c>
      <c r="Y270" s="81" t="s">
        <v>6</v>
      </c>
      <c r="Z270" s="81" t="s">
        <v>57</v>
      </c>
      <c r="AA270" s="81" t="s">
        <v>32</v>
      </c>
      <c r="AB270" s="90" t="s">
        <v>162</v>
      </c>
      <c r="AC270" s="81" t="s">
        <v>65</v>
      </c>
    </row>
    <row r="271" spans="1:29">
      <c r="A271" s="81" t="s">
        <v>93</v>
      </c>
      <c r="B271" s="84">
        <v>46104</v>
      </c>
      <c r="C271" s="83">
        <v>46104</v>
      </c>
      <c r="D271" s="85" t="s">
        <v>160</v>
      </c>
      <c r="E271" s="86">
        <v>0.25</v>
      </c>
      <c r="F271" s="86">
        <v>0.99930555555555556</v>
      </c>
      <c r="G271" s="86">
        <v>3.4722222222222218E-4</v>
      </c>
      <c r="H271" s="81" t="s">
        <v>180</v>
      </c>
      <c r="I271" s="87" t="s">
        <v>118</v>
      </c>
      <c r="J271" s="81" t="s">
        <v>78</v>
      </c>
      <c r="K271" s="81"/>
      <c r="L271" s="81">
        <v>1</v>
      </c>
      <c r="M271" s="81">
        <v>69732</v>
      </c>
      <c r="N271" s="81" t="s">
        <v>71</v>
      </c>
      <c r="O271" s="81" t="s">
        <v>161</v>
      </c>
      <c r="P271" s="91">
        <v>0</v>
      </c>
      <c r="Q271" s="81"/>
      <c r="R271" s="91">
        <v>0</v>
      </c>
      <c r="S271" s="89">
        <v>46082</v>
      </c>
      <c r="T271" s="91">
        <v>0</v>
      </c>
      <c r="U271" s="90">
        <v>4</v>
      </c>
      <c r="V271" s="91">
        <v>0</v>
      </c>
      <c r="W271" s="81" t="s">
        <v>85</v>
      </c>
      <c r="X271" s="81" t="s">
        <v>76</v>
      </c>
      <c r="Y271" s="81" t="s">
        <v>6</v>
      </c>
      <c r="Z271" s="81" t="s">
        <v>57</v>
      </c>
      <c r="AA271" s="81" t="s">
        <v>32</v>
      </c>
      <c r="AB271" s="90" t="s">
        <v>162</v>
      </c>
      <c r="AC271" s="81" t="s">
        <v>65</v>
      </c>
    </row>
    <row r="272" spans="1:29">
      <c r="A272" s="81" t="s">
        <v>93</v>
      </c>
      <c r="B272" s="84">
        <v>46108</v>
      </c>
      <c r="C272" s="83">
        <v>46108</v>
      </c>
      <c r="D272" s="85" t="s">
        <v>166</v>
      </c>
      <c r="E272" s="86">
        <v>0.25</v>
      </c>
      <c r="F272" s="86">
        <v>0.99930555555555556</v>
      </c>
      <c r="G272" s="86">
        <v>3.4722222222222218E-4</v>
      </c>
      <c r="H272" s="81" t="s">
        <v>180</v>
      </c>
      <c r="I272" s="87" t="s">
        <v>175</v>
      </c>
      <c r="J272" s="81" t="s">
        <v>78</v>
      </c>
      <c r="K272" s="81"/>
      <c r="L272" s="81">
        <v>1</v>
      </c>
      <c r="M272" s="81">
        <v>69732</v>
      </c>
      <c r="N272" s="81" t="s">
        <v>71</v>
      </c>
      <c r="O272" s="81" t="s">
        <v>161</v>
      </c>
      <c r="P272" s="91">
        <v>0</v>
      </c>
      <c r="Q272" s="81"/>
      <c r="R272" s="91">
        <v>0</v>
      </c>
      <c r="S272" s="89">
        <v>46082</v>
      </c>
      <c r="T272" s="91">
        <v>0</v>
      </c>
      <c r="U272" s="90">
        <v>4</v>
      </c>
      <c r="V272" s="91">
        <v>0</v>
      </c>
      <c r="W272" s="81" t="s">
        <v>85</v>
      </c>
      <c r="X272" s="81" t="s">
        <v>76</v>
      </c>
      <c r="Y272" s="81" t="s">
        <v>6</v>
      </c>
      <c r="Z272" s="81" t="s">
        <v>57</v>
      </c>
      <c r="AA272" s="81" t="s">
        <v>32</v>
      </c>
      <c r="AB272" s="90" t="s">
        <v>162</v>
      </c>
      <c r="AC272" s="81" t="s">
        <v>65</v>
      </c>
    </row>
    <row r="273" spans="1:29">
      <c r="A273" s="81" t="s">
        <v>93</v>
      </c>
      <c r="B273" s="84">
        <v>46095</v>
      </c>
      <c r="C273" s="83">
        <v>46095</v>
      </c>
      <c r="D273" s="85" t="s">
        <v>168</v>
      </c>
      <c r="E273" s="86">
        <v>0.25</v>
      </c>
      <c r="F273" s="86">
        <v>0.99930555555555556</v>
      </c>
      <c r="G273" s="86">
        <v>3.4722222222222218E-4</v>
      </c>
      <c r="H273" s="81" t="s">
        <v>180</v>
      </c>
      <c r="I273" s="87" t="s">
        <v>128</v>
      </c>
      <c r="J273" s="81" t="s">
        <v>78</v>
      </c>
      <c r="K273" s="81"/>
      <c r="L273" s="81">
        <v>1</v>
      </c>
      <c r="M273" s="81">
        <v>69732</v>
      </c>
      <c r="N273" s="81" t="s">
        <v>71</v>
      </c>
      <c r="O273" s="81" t="s">
        <v>161</v>
      </c>
      <c r="P273" s="91">
        <v>0</v>
      </c>
      <c r="Q273" s="81"/>
      <c r="R273" s="91">
        <v>0</v>
      </c>
      <c r="S273" s="89">
        <v>46082</v>
      </c>
      <c r="T273" s="91">
        <v>0</v>
      </c>
      <c r="U273" s="90">
        <v>4</v>
      </c>
      <c r="V273" s="91">
        <v>0</v>
      </c>
      <c r="W273" s="81" t="s">
        <v>85</v>
      </c>
      <c r="X273" s="81" t="s">
        <v>76</v>
      </c>
      <c r="Y273" s="81" t="s">
        <v>6</v>
      </c>
      <c r="Z273" s="81" t="s">
        <v>57</v>
      </c>
      <c r="AA273" s="81" t="s">
        <v>32</v>
      </c>
      <c r="AB273" s="90" t="s">
        <v>162</v>
      </c>
      <c r="AC273" s="81" t="s">
        <v>65</v>
      </c>
    </row>
    <row r="274" spans="1:29">
      <c r="A274" s="81" t="s">
        <v>93</v>
      </c>
      <c r="B274" s="84">
        <v>46109</v>
      </c>
      <c r="C274" s="83">
        <v>46109</v>
      </c>
      <c r="D274" s="85" t="s">
        <v>168</v>
      </c>
      <c r="E274" s="86">
        <v>0.25</v>
      </c>
      <c r="F274" s="86">
        <v>0.99930555555555556</v>
      </c>
      <c r="G274" s="86">
        <v>3.4722222222222218E-4</v>
      </c>
      <c r="H274" s="81" t="s">
        <v>180</v>
      </c>
      <c r="I274" s="87" t="s">
        <v>128</v>
      </c>
      <c r="J274" s="81" t="s">
        <v>78</v>
      </c>
      <c r="K274" s="81"/>
      <c r="L274" s="81">
        <v>1</v>
      </c>
      <c r="M274" s="81">
        <v>69732</v>
      </c>
      <c r="N274" s="81" t="s">
        <v>71</v>
      </c>
      <c r="O274" s="81" t="s">
        <v>161</v>
      </c>
      <c r="P274" s="91">
        <v>0</v>
      </c>
      <c r="Q274" s="81"/>
      <c r="R274" s="91">
        <v>0</v>
      </c>
      <c r="S274" s="89">
        <v>46082</v>
      </c>
      <c r="T274" s="91">
        <v>0</v>
      </c>
      <c r="U274" s="90">
        <v>4</v>
      </c>
      <c r="V274" s="91">
        <v>0</v>
      </c>
      <c r="W274" s="81" t="s">
        <v>85</v>
      </c>
      <c r="X274" s="81" t="s">
        <v>76</v>
      </c>
      <c r="Y274" s="81" t="s">
        <v>6</v>
      </c>
      <c r="Z274" s="81" t="s">
        <v>57</v>
      </c>
      <c r="AA274" s="81" t="s">
        <v>32</v>
      </c>
      <c r="AB274" s="90" t="s">
        <v>162</v>
      </c>
      <c r="AC274" s="81" t="s">
        <v>65</v>
      </c>
    </row>
    <row r="275" spans="1:29">
      <c r="A275" s="81" t="s">
        <v>93</v>
      </c>
      <c r="B275" s="84">
        <v>46103</v>
      </c>
      <c r="C275" s="83">
        <v>46103</v>
      </c>
      <c r="D275" s="85" t="s">
        <v>169</v>
      </c>
      <c r="E275" s="86">
        <v>0.25</v>
      </c>
      <c r="F275" s="86">
        <v>0.99930555555555556</v>
      </c>
      <c r="G275" s="86">
        <v>3.4722222222222218E-4</v>
      </c>
      <c r="H275" s="81" t="s">
        <v>180</v>
      </c>
      <c r="I275" s="87" t="s">
        <v>167</v>
      </c>
      <c r="J275" s="81" t="s">
        <v>78</v>
      </c>
      <c r="K275" s="81"/>
      <c r="L275" s="81">
        <v>1</v>
      </c>
      <c r="M275" s="81">
        <v>69732</v>
      </c>
      <c r="N275" s="81" t="s">
        <v>71</v>
      </c>
      <c r="O275" s="81" t="s">
        <v>161</v>
      </c>
      <c r="P275" s="91">
        <v>0</v>
      </c>
      <c r="Q275" s="81"/>
      <c r="R275" s="91">
        <v>0</v>
      </c>
      <c r="S275" s="89">
        <v>46082</v>
      </c>
      <c r="T275" s="91">
        <v>0</v>
      </c>
      <c r="U275" s="90">
        <v>4</v>
      </c>
      <c r="V275" s="91">
        <v>0</v>
      </c>
      <c r="W275" s="81" t="s">
        <v>85</v>
      </c>
      <c r="X275" s="81" t="s">
        <v>76</v>
      </c>
      <c r="Y275" s="81" t="s">
        <v>6</v>
      </c>
      <c r="Z275" s="81" t="s">
        <v>57</v>
      </c>
      <c r="AA275" s="81" t="s">
        <v>32</v>
      </c>
      <c r="AB275" s="90" t="s">
        <v>162</v>
      </c>
      <c r="AC275" s="81" t="s">
        <v>65</v>
      </c>
    </row>
    <row r="276" spans="1:29">
      <c r="A276" s="81" t="s">
        <v>93</v>
      </c>
      <c r="B276" s="84">
        <v>46107</v>
      </c>
      <c r="C276" s="83">
        <v>46107</v>
      </c>
      <c r="D276" s="85" t="s">
        <v>165</v>
      </c>
      <c r="E276" s="86">
        <v>0.25</v>
      </c>
      <c r="F276" s="86">
        <v>0.99930555555555556</v>
      </c>
      <c r="G276" s="86">
        <v>3.4722222222222218E-4</v>
      </c>
      <c r="H276" s="81" t="s">
        <v>180</v>
      </c>
      <c r="I276" s="87" t="s">
        <v>167</v>
      </c>
      <c r="J276" s="81" t="s">
        <v>78</v>
      </c>
      <c r="K276" s="81"/>
      <c r="L276" s="81">
        <v>1</v>
      </c>
      <c r="M276" s="81">
        <v>69732</v>
      </c>
      <c r="N276" s="81" t="s">
        <v>71</v>
      </c>
      <c r="O276" s="81" t="s">
        <v>161</v>
      </c>
      <c r="P276" s="91">
        <v>0</v>
      </c>
      <c r="Q276" s="81"/>
      <c r="R276" s="91">
        <v>0</v>
      </c>
      <c r="S276" s="89">
        <v>46082</v>
      </c>
      <c r="T276" s="91">
        <v>0</v>
      </c>
      <c r="U276" s="90">
        <v>4</v>
      </c>
      <c r="V276" s="91">
        <v>0</v>
      </c>
      <c r="W276" s="81" t="s">
        <v>85</v>
      </c>
      <c r="X276" s="81" t="s">
        <v>76</v>
      </c>
      <c r="Y276" s="81" t="s">
        <v>6</v>
      </c>
      <c r="Z276" s="81" t="s">
        <v>57</v>
      </c>
      <c r="AA276" s="81" t="s">
        <v>32</v>
      </c>
      <c r="AB276" s="90" t="s">
        <v>162</v>
      </c>
      <c r="AC276" s="81" t="s">
        <v>65</v>
      </c>
    </row>
    <row r="277" spans="1:29">
      <c r="A277" s="81" t="s">
        <v>93</v>
      </c>
      <c r="B277" s="84">
        <v>46097</v>
      </c>
      <c r="C277" s="83">
        <v>46097</v>
      </c>
      <c r="D277" s="85" t="s">
        <v>160</v>
      </c>
      <c r="E277" s="86">
        <v>0.25</v>
      </c>
      <c r="F277" s="86">
        <v>0.99930555555555556</v>
      </c>
      <c r="G277" s="86">
        <v>3.4722222222222218E-4</v>
      </c>
      <c r="H277" s="81" t="s">
        <v>180</v>
      </c>
      <c r="I277" s="87" t="s">
        <v>176</v>
      </c>
      <c r="J277" s="81" t="s">
        <v>78</v>
      </c>
      <c r="K277" s="81"/>
      <c r="L277" s="81">
        <v>1</v>
      </c>
      <c r="M277" s="81">
        <v>69732</v>
      </c>
      <c r="N277" s="81" t="s">
        <v>71</v>
      </c>
      <c r="O277" s="81" t="s">
        <v>161</v>
      </c>
      <c r="P277" s="91">
        <v>0</v>
      </c>
      <c r="Q277" s="81"/>
      <c r="R277" s="91">
        <v>0</v>
      </c>
      <c r="S277" s="89">
        <v>46082</v>
      </c>
      <c r="T277" s="91">
        <v>0</v>
      </c>
      <c r="U277" s="90">
        <v>4</v>
      </c>
      <c r="V277" s="91">
        <v>0</v>
      </c>
      <c r="W277" s="81" t="s">
        <v>85</v>
      </c>
      <c r="X277" s="81" t="s">
        <v>76</v>
      </c>
      <c r="Y277" s="81" t="s">
        <v>6</v>
      </c>
      <c r="Z277" s="81" t="s">
        <v>57</v>
      </c>
      <c r="AA277" s="81" t="s">
        <v>32</v>
      </c>
      <c r="AB277" s="90" t="s">
        <v>162</v>
      </c>
      <c r="AC277" s="81" t="s">
        <v>65</v>
      </c>
    </row>
    <row r="278" spans="1:29">
      <c r="A278" s="81" t="s">
        <v>93</v>
      </c>
      <c r="B278" s="84">
        <v>46103</v>
      </c>
      <c r="C278" s="83">
        <v>46103</v>
      </c>
      <c r="D278" s="85" t="s">
        <v>169</v>
      </c>
      <c r="E278" s="86">
        <v>0.83333333333333337</v>
      </c>
      <c r="F278" s="86">
        <v>0.99930555555555556</v>
      </c>
      <c r="G278" s="86">
        <v>3.4722222222222218E-4</v>
      </c>
      <c r="H278" s="81" t="s">
        <v>180</v>
      </c>
      <c r="I278" s="87" t="s">
        <v>109</v>
      </c>
      <c r="J278" s="81" t="s">
        <v>78</v>
      </c>
      <c r="K278" s="81"/>
      <c r="L278" s="81">
        <v>1</v>
      </c>
      <c r="M278" s="81">
        <v>69733</v>
      </c>
      <c r="N278" s="81" t="s">
        <v>33</v>
      </c>
      <c r="O278" s="81" t="s">
        <v>161</v>
      </c>
      <c r="P278" s="91">
        <v>46</v>
      </c>
      <c r="Q278" s="81"/>
      <c r="R278" s="91">
        <v>46</v>
      </c>
      <c r="S278" s="89">
        <v>46082</v>
      </c>
      <c r="T278" s="91">
        <v>6.8999999999999995</v>
      </c>
      <c r="U278" s="90">
        <v>4</v>
      </c>
      <c r="V278" s="91">
        <v>39.1</v>
      </c>
      <c r="W278" s="81" t="s">
        <v>85</v>
      </c>
      <c r="X278" s="81" t="s">
        <v>76</v>
      </c>
      <c r="Y278" s="81" t="s">
        <v>6</v>
      </c>
      <c r="Z278" s="81" t="s">
        <v>57</v>
      </c>
      <c r="AA278" s="81" t="s">
        <v>32</v>
      </c>
      <c r="AB278" s="90" t="s">
        <v>162</v>
      </c>
      <c r="AC278" s="81" t="s">
        <v>65</v>
      </c>
    </row>
    <row r="279" spans="1:29">
      <c r="A279" s="81" t="s">
        <v>93</v>
      </c>
      <c r="B279" s="84">
        <v>46095</v>
      </c>
      <c r="C279" s="83">
        <v>46095</v>
      </c>
      <c r="D279" s="85" t="s">
        <v>168</v>
      </c>
      <c r="E279" s="86">
        <v>0.83333333333333337</v>
      </c>
      <c r="F279" s="86">
        <v>0.99930555555555556</v>
      </c>
      <c r="G279" s="86">
        <v>3.4722222222222218E-4</v>
      </c>
      <c r="H279" s="81" t="s">
        <v>180</v>
      </c>
      <c r="I279" s="87" t="s">
        <v>110</v>
      </c>
      <c r="J279" s="81" t="s">
        <v>78</v>
      </c>
      <c r="K279" s="81"/>
      <c r="L279" s="81">
        <v>1</v>
      </c>
      <c r="M279" s="81">
        <v>69733</v>
      </c>
      <c r="N279" s="81" t="s">
        <v>33</v>
      </c>
      <c r="O279" s="81" t="s">
        <v>161</v>
      </c>
      <c r="P279" s="91">
        <v>46</v>
      </c>
      <c r="Q279" s="81"/>
      <c r="R279" s="91">
        <v>46</v>
      </c>
      <c r="S279" s="89">
        <v>46082</v>
      </c>
      <c r="T279" s="91">
        <v>6.8999999999999995</v>
      </c>
      <c r="U279" s="90">
        <v>4</v>
      </c>
      <c r="V279" s="91">
        <v>39.1</v>
      </c>
      <c r="W279" s="81" t="s">
        <v>85</v>
      </c>
      <c r="X279" s="81" t="s">
        <v>76</v>
      </c>
      <c r="Y279" s="81" t="s">
        <v>6</v>
      </c>
      <c r="Z279" s="81" t="s">
        <v>57</v>
      </c>
      <c r="AA279" s="81" t="s">
        <v>32</v>
      </c>
      <c r="AB279" s="90" t="s">
        <v>162</v>
      </c>
      <c r="AC279" s="81" t="s">
        <v>65</v>
      </c>
    </row>
    <row r="280" spans="1:29">
      <c r="A280" s="81" t="s">
        <v>93</v>
      </c>
      <c r="B280" s="84">
        <v>46102</v>
      </c>
      <c r="C280" s="83">
        <v>46102</v>
      </c>
      <c r="D280" s="85" t="s">
        <v>168</v>
      </c>
      <c r="E280" s="86">
        <v>0.83333333333333337</v>
      </c>
      <c r="F280" s="86">
        <v>0.99930555555555556</v>
      </c>
      <c r="G280" s="86">
        <v>3.4722222222222218E-4</v>
      </c>
      <c r="H280" s="81" t="s">
        <v>180</v>
      </c>
      <c r="I280" s="87" t="s">
        <v>111</v>
      </c>
      <c r="J280" s="81" t="s">
        <v>78</v>
      </c>
      <c r="K280" s="81"/>
      <c r="L280" s="81">
        <v>1</v>
      </c>
      <c r="M280" s="81">
        <v>69733</v>
      </c>
      <c r="N280" s="81" t="s">
        <v>33</v>
      </c>
      <c r="O280" s="81" t="s">
        <v>161</v>
      </c>
      <c r="P280" s="91">
        <v>46</v>
      </c>
      <c r="Q280" s="81"/>
      <c r="R280" s="91">
        <v>46</v>
      </c>
      <c r="S280" s="89">
        <v>46082</v>
      </c>
      <c r="T280" s="91">
        <v>6.8999999999999995</v>
      </c>
      <c r="U280" s="90">
        <v>4</v>
      </c>
      <c r="V280" s="91">
        <v>39.1</v>
      </c>
      <c r="W280" s="81" t="s">
        <v>85</v>
      </c>
      <c r="X280" s="81" t="s">
        <v>76</v>
      </c>
      <c r="Y280" s="81" t="s">
        <v>6</v>
      </c>
      <c r="Z280" s="81" t="s">
        <v>57</v>
      </c>
      <c r="AA280" s="81" t="s">
        <v>32</v>
      </c>
      <c r="AB280" s="90" t="s">
        <v>162</v>
      </c>
      <c r="AC280" s="81" t="s">
        <v>65</v>
      </c>
    </row>
    <row r="281" spans="1:29">
      <c r="A281" s="81" t="s">
        <v>93</v>
      </c>
      <c r="B281" s="84">
        <v>46109</v>
      </c>
      <c r="C281" s="83">
        <v>46109</v>
      </c>
      <c r="D281" s="85" t="s">
        <v>168</v>
      </c>
      <c r="E281" s="86">
        <v>0.83333333333333337</v>
      </c>
      <c r="F281" s="86">
        <v>0.99930555555555556</v>
      </c>
      <c r="G281" s="86">
        <v>3.4722222222222218E-4</v>
      </c>
      <c r="H281" s="81" t="s">
        <v>180</v>
      </c>
      <c r="I281" s="87" t="s">
        <v>112</v>
      </c>
      <c r="J281" s="81" t="s">
        <v>78</v>
      </c>
      <c r="K281" s="81"/>
      <c r="L281" s="81">
        <v>1</v>
      </c>
      <c r="M281" s="81">
        <v>69733</v>
      </c>
      <c r="N281" s="81" t="s">
        <v>33</v>
      </c>
      <c r="O281" s="81" t="s">
        <v>161</v>
      </c>
      <c r="P281" s="91">
        <v>46</v>
      </c>
      <c r="Q281" s="81"/>
      <c r="R281" s="91">
        <v>46</v>
      </c>
      <c r="S281" s="89">
        <v>46082</v>
      </c>
      <c r="T281" s="91">
        <v>6.8999999999999995</v>
      </c>
      <c r="U281" s="90">
        <v>4</v>
      </c>
      <c r="V281" s="91">
        <v>39.1</v>
      </c>
      <c r="W281" s="81" t="s">
        <v>85</v>
      </c>
      <c r="X281" s="81" t="s">
        <v>76</v>
      </c>
      <c r="Y281" s="81" t="s">
        <v>6</v>
      </c>
      <c r="Z281" s="81" t="s">
        <v>57</v>
      </c>
      <c r="AA281" s="81" t="s">
        <v>32</v>
      </c>
      <c r="AB281" s="90" t="s">
        <v>162</v>
      </c>
      <c r="AC281" s="81" t="s">
        <v>65</v>
      </c>
    </row>
    <row r="282" spans="1:29">
      <c r="A282" s="81" t="s">
        <v>93</v>
      </c>
      <c r="B282" s="84">
        <v>46096</v>
      </c>
      <c r="C282" s="83">
        <v>46096</v>
      </c>
      <c r="D282" s="85" t="s">
        <v>169</v>
      </c>
      <c r="E282" s="86">
        <v>0.83333333333333337</v>
      </c>
      <c r="F282" s="86">
        <v>0.99930555555555556</v>
      </c>
      <c r="G282" s="86">
        <v>3.4722222222222218E-4</v>
      </c>
      <c r="H282" s="81" t="s">
        <v>180</v>
      </c>
      <c r="I282" s="87" t="s">
        <v>125</v>
      </c>
      <c r="J282" s="81" t="s">
        <v>78</v>
      </c>
      <c r="K282" s="81"/>
      <c r="L282" s="81">
        <v>1</v>
      </c>
      <c r="M282" s="81">
        <v>69733</v>
      </c>
      <c r="N282" s="81" t="s">
        <v>33</v>
      </c>
      <c r="O282" s="81" t="s">
        <v>161</v>
      </c>
      <c r="P282" s="91">
        <v>46</v>
      </c>
      <c r="Q282" s="81"/>
      <c r="R282" s="91">
        <v>46</v>
      </c>
      <c r="S282" s="89">
        <v>46082</v>
      </c>
      <c r="T282" s="91">
        <v>6.8999999999999995</v>
      </c>
      <c r="U282" s="90">
        <v>4</v>
      </c>
      <c r="V282" s="91">
        <v>39.1</v>
      </c>
      <c r="W282" s="81" t="s">
        <v>85</v>
      </c>
      <c r="X282" s="81" t="s">
        <v>76</v>
      </c>
      <c r="Y282" s="81" t="s">
        <v>6</v>
      </c>
      <c r="Z282" s="81" t="s">
        <v>57</v>
      </c>
      <c r="AA282" s="81" t="s">
        <v>32</v>
      </c>
      <c r="AB282" s="90" t="s">
        <v>162</v>
      </c>
      <c r="AC282" s="81" t="s">
        <v>65</v>
      </c>
    </row>
    <row r="283" spans="1:29">
      <c r="A283" s="81" t="s">
        <v>93</v>
      </c>
      <c r="B283" s="84">
        <v>46102</v>
      </c>
      <c r="C283" s="83">
        <v>46102</v>
      </c>
      <c r="D283" s="85" t="s">
        <v>168</v>
      </c>
      <c r="E283" s="86">
        <v>0.83333333333333337</v>
      </c>
      <c r="F283" s="86">
        <v>0.99930555555555556</v>
      </c>
      <c r="G283" s="86">
        <v>3.4722222222222218E-4</v>
      </c>
      <c r="H283" s="81" t="s">
        <v>180</v>
      </c>
      <c r="I283" s="87" t="s">
        <v>126</v>
      </c>
      <c r="J283" s="81" t="s">
        <v>78</v>
      </c>
      <c r="K283" s="81"/>
      <c r="L283" s="81">
        <v>1</v>
      </c>
      <c r="M283" s="81">
        <v>69733</v>
      </c>
      <c r="N283" s="81" t="s">
        <v>33</v>
      </c>
      <c r="O283" s="81" t="s">
        <v>161</v>
      </c>
      <c r="P283" s="91">
        <v>46</v>
      </c>
      <c r="Q283" s="81"/>
      <c r="R283" s="91">
        <v>46</v>
      </c>
      <c r="S283" s="89">
        <v>46082</v>
      </c>
      <c r="T283" s="91">
        <v>6.8999999999999995</v>
      </c>
      <c r="U283" s="90">
        <v>4</v>
      </c>
      <c r="V283" s="91">
        <v>39.1</v>
      </c>
      <c r="W283" s="81" t="s">
        <v>85</v>
      </c>
      <c r="X283" s="81" t="s">
        <v>76</v>
      </c>
      <c r="Y283" s="81" t="s">
        <v>6</v>
      </c>
      <c r="Z283" s="81" t="s">
        <v>57</v>
      </c>
      <c r="AA283" s="81" t="s">
        <v>32</v>
      </c>
      <c r="AB283" s="90" t="s">
        <v>162</v>
      </c>
      <c r="AC283" s="81" t="s">
        <v>65</v>
      </c>
    </row>
    <row r="284" spans="1:29">
      <c r="A284" s="81" t="s">
        <v>93</v>
      </c>
      <c r="B284" s="84">
        <v>46103</v>
      </c>
      <c r="C284" s="83">
        <v>46103</v>
      </c>
      <c r="D284" s="85" t="s">
        <v>169</v>
      </c>
      <c r="E284" s="86">
        <v>0.83333333333333337</v>
      </c>
      <c r="F284" s="86">
        <v>0.99930555555555556</v>
      </c>
      <c r="G284" s="86">
        <v>3.4722222222222218E-4</v>
      </c>
      <c r="H284" s="81" t="s">
        <v>180</v>
      </c>
      <c r="I284" s="87" t="s">
        <v>171</v>
      </c>
      <c r="J284" s="81" t="s">
        <v>78</v>
      </c>
      <c r="K284" s="81"/>
      <c r="L284" s="81">
        <v>1</v>
      </c>
      <c r="M284" s="81">
        <v>69733</v>
      </c>
      <c r="N284" s="81" t="s">
        <v>33</v>
      </c>
      <c r="O284" s="81" t="s">
        <v>161</v>
      </c>
      <c r="P284" s="91">
        <v>46</v>
      </c>
      <c r="Q284" s="81"/>
      <c r="R284" s="91">
        <v>46</v>
      </c>
      <c r="S284" s="89">
        <v>46082</v>
      </c>
      <c r="T284" s="91">
        <v>6.8999999999999995</v>
      </c>
      <c r="U284" s="90">
        <v>4</v>
      </c>
      <c r="V284" s="91">
        <v>39.1</v>
      </c>
      <c r="W284" s="81" t="s">
        <v>85</v>
      </c>
      <c r="X284" s="81" t="s">
        <v>76</v>
      </c>
      <c r="Y284" s="81" t="s">
        <v>6</v>
      </c>
      <c r="Z284" s="81" t="s">
        <v>57</v>
      </c>
      <c r="AA284" s="81" t="s">
        <v>32</v>
      </c>
      <c r="AB284" s="90" t="s">
        <v>162</v>
      </c>
      <c r="AC284" s="81" t="s">
        <v>65</v>
      </c>
    </row>
    <row r="285" spans="1:29">
      <c r="A285" s="81" t="s">
        <v>93</v>
      </c>
      <c r="B285" s="84">
        <v>46110</v>
      </c>
      <c r="C285" s="83">
        <v>46110</v>
      </c>
      <c r="D285" s="85" t="s">
        <v>169</v>
      </c>
      <c r="E285" s="86">
        <v>0.83333333333333337</v>
      </c>
      <c r="F285" s="86">
        <v>0.99930555555555556</v>
      </c>
      <c r="G285" s="86">
        <v>3.4722222222222218E-4</v>
      </c>
      <c r="H285" s="81" t="s">
        <v>180</v>
      </c>
      <c r="I285" s="87" t="s">
        <v>171</v>
      </c>
      <c r="J285" s="81" t="s">
        <v>78</v>
      </c>
      <c r="K285" s="81"/>
      <c r="L285" s="81">
        <v>1</v>
      </c>
      <c r="M285" s="81">
        <v>69733</v>
      </c>
      <c r="N285" s="81" t="s">
        <v>33</v>
      </c>
      <c r="O285" s="81" t="s">
        <v>161</v>
      </c>
      <c r="P285" s="91">
        <v>46</v>
      </c>
      <c r="Q285" s="81"/>
      <c r="R285" s="91">
        <v>46</v>
      </c>
      <c r="S285" s="89">
        <v>46082</v>
      </c>
      <c r="T285" s="91">
        <v>6.8999999999999995</v>
      </c>
      <c r="U285" s="90">
        <v>4</v>
      </c>
      <c r="V285" s="91">
        <v>39.1</v>
      </c>
      <c r="W285" s="81" t="s">
        <v>85</v>
      </c>
      <c r="X285" s="81" t="s">
        <v>76</v>
      </c>
      <c r="Y285" s="81" t="s">
        <v>6</v>
      </c>
      <c r="Z285" s="81" t="s">
        <v>57</v>
      </c>
      <c r="AA285" s="81" t="s">
        <v>32</v>
      </c>
      <c r="AB285" s="90" t="s">
        <v>162</v>
      </c>
      <c r="AC285" s="81" t="s">
        <v>65</v>
      </c>
    </row>
    <row r="286" spans="1:29">
      <c r="A286" s="81" t="s">
        <v>93</v>
      </c>
      <c r="B286" s="84">
        <v>46096</v>
      </c>
      <c r="C286" s="83">
        <v>46096</v>
      </c>
      <c r="D286" s="85" t="s">
        <v>169</v>
      </c>
      <c r="E286" s="86">
        <v>0.83333333333333337</v>
      </c>
      <c r="F286" s="86">
        <v>0.99930555555555556</v>
      </c>
      <c r="G286" s="86">
        <v>3.4722222222222218E-4</v>
      </c>
      <c r="H286" s="81" t="s">
        <v>180</v>
      </c>
      <c r="I286" s="87" t="s">
        <v>127</v>
      </c>
      <c r="J286" s="81" t="s">
        <v>78</v>
      </c>
      <c r="K286" s="81"/>
      <c r="L286" s="81">
        <v>1</v>
      </c>
      <c r="M286" s="81">
        <v>69733</v>
      </c>
      <c r="N286" s="81" t="s">
        <v>33</v>
      </c>
      <c r="O286" s="81" t="s">
        <v>161</v>
      </c>
      <c r="P286" s="91">
        <v>46</v>
      </c>
      <c r="Q286" s="81"/>
      <c r="R286" s="91">
        <v>46</v>
      </c>
      <c r="S286" s="89">
        <v>46082</v>
      </c>
      <c r="T286" s="91">
        <v>6.8999999999999995</v>
      </c>
      <c r="U286" s="90">
        <v>4</v>
      </c>
      <c r="V286" s="91">
        <v>39.1</v>
      </c>
      <c r="W286" s="81" t="s">
        <v>85</v>
      </c>
      <c r="X286" s="81" t="s">
        <v>76</v>
      </c>
      <c r="Y286" s="81" t="s">
        <v>6</v>
      </c>
      <c r="Z286" s="81" t="s">
        <v>57</v>
      </c>
      <c r="AA286" s="81" t="s">
        <v>32</v>
      </c>
      <c r="AB286" s="90" t="s">
        <v>162</v>
      </c>
      <c r="AC286" s="81" t="s">
        <v>65</v>
      </c>
    </row>
    <row r="287" spans="1:29">
      <c r="A287" s="81" t="s">
        <v>93</v>
      </c>
      <c r="B287" s="84">
        <v>46109</v>
      </c>
      <c r="C287" s="83">
        <v>46109</v>
      </c>
      <c r="D287" s="85" t="s">
        <v>168</v>
      </c>
      <c r="E287" s="86">
        <v>0.83333333333333337</v>
      </c>
      <c r="F287" s="86">
        <v>0.99930555555555556</v>
      </c>
      <c r="G287" s="86">
        <v>3.4722222222222218E-4</v>
      </c>
      <c r="H287" s="81" t="s">
        <v>180</v>
      </c>
      <c r="I287" s="87" t="s">
        <v>177</v>
      </c>
      <c r="J287" s="81" t="s">
        <v>78</v>
      </c>
      <c r="K287" s="81"/>
      <c r="L287" s="81">
        <v>1</v>
      </c>
      <c r="M287" s="81">
        <v>69733</v>
      </c>
      <c r="N287" s="81" t="s">
        <v>33</v>
      </c>
      <c r="O287" s="81" t="s">
        <v>161</v>
      </c>
      <c r="P287" s="91">
        <v>46</v>
      </c>
      <c r="Q287" s="81"/>
      <c r="R287" s="91">
        <v>46</v>
      </c>
      <c r="S287" s="89">
        <v>46082</v>
      </c>
      <c r="T287" s="91">
        <v>6.8999999999999995</v>
      </c>
      <c r="U287" s="90">
        <v>4</v>
      </c>
      <c r="V287" s="91">
        <v>39.1</v>
      </c>
      <c r="W287" s="81" t="s">
        <v>85</v>
      </c>
      <c r="X287" s="81" t="s">
        <v>76</v>
      </c>
      <c r="Y287" s="81" t="s">
        <v>6</v>
      </c>
      <c r="Z287" s="81" t="s">
        <v>57</v>
      </c>
      <c r="AA287" s="81" t="s">
        <v>32</v>
      </c>
      <c r="AB287" s="90" t="s">
        <v>162</v>
      </c>
      <c r="AC287" s="81" t="s">
        <v>65</v>
      </c>
    </row>
    <row r="288" spans="1:29">
      <c r="A288" s="81" t="s">
        <v>93</v>
      </c>
      <c r="B288" s="84">
        <v>46096</v>
      </c>
      <c r="C288" s="83">
        <v>46096</v>
      </c>
      <c r="D288" s="85" t="s">
        <v>169</v>
      </c>
      <c r="E288" s="86">
        <v>0.83333333333333337</v>
      </c>
      <c r="F288" s="86">
        <v>0.99930555555555556</v>
      </c>
      <c r="G288" s="86">
        <v>3.4722222222222218E-4</v>
      </c>
      <c r="H288" s="81" t="s">
        <v>180</v>
      </c>
      <c r="I288" s="87" t="s">
        <v>167</v>
      </c>
      <c r="J288" s="81" t="s">
        <v>78</v>
      </c>
      <c r="K288" s="81"/>
      <c r="L288" s="81">
        <v>1</v>
      </c>
      <c r="M288" s="81">
        <v>69733</v>
      </c>
      <c r="N288" s="81" t="s">
        <v>33</v>
      </c>
      <c r="O288" s="81" t="s">
        <v>161</v>
      </c>
      <c r="P288" s="91">
        <v>46</v>
      </c>
      <c r="Q288" s="81"/>
      <c r="R288" s="91">
        <v>46</v>
      </c>
      <c r="S288" s="89">
        <v>46082</v>
      </c>
      <c r="T288" s="91">
        <v>6.8999999999999995</v>
      </c>
      <c r="U288" s="90">
        <v>4</v>
      </c>
      <c r="V288" s="91">
        <v>39.1</v>
      </c>
      <c r="W288" s="81" t="s">
        <v>85</v>
      </c>
      <c r="X288" s="81" t="s">
        <v>76</v>
      </c>
      <c r="Y288" s="81" t="s">
        <v>6</v>
      </c>
      <c r="Z288" s="81" t="s">
        <v>57</v>
      </c>
      <c r="AA288" s="81" t="s">
        <v>32</v>
      </c>
      <c r="AB288" s="90" t="s">
        <v>162</v>
      </c>
      <c r="AC288" s="81" t="s">
        <v>65</v>
      </c>
    </row>
    <row r="289" spans="1:29">
      <c r="A289" s="81" t="s">
        <v>93</v>
      </c>
      <c r="B289" s="84">
        <v>46095</v>
      </c>
      <c r="C289" s="83">
        <v>46095</v>
      </c>
      <c r="D289" s="85" t="s">
        <v>168</v>
      </c>
      <c r="E289" s="86">
        <v>0.83333333333333337</v>
      </c>
      <c r="F289" s="86">
        <v>0.99930555555555556</v>
      </c>
      <c r="G289" s="86">
        <v>3.4722222222222218E-4</v>
      </c>
      <c r="H289" s="81" t="s">
        <v>180</v>
      </c>
      <c r="I289" s="87" t="s">
        <v>178</v>
      </c>
      <c r="J289" s="81" t="s">
        <v>78</v>
      </c>
      <c r="K289" s="81"/>
      <c r="L289" s="81">
        <v>1</v>
      </c>
      <c r="M289" s="81">
        <v>69733</v>
      </c>
      <c r="N289" s="81" t="s">
        <v>33</v>
      </c>
      <c r="O289" s="81" t="s">
        <v>161</v>
      </c>
      <c r="P289" s="91">
        <v>46</v>
      </c>
      <c r="Q289" s="81"/>
      <c r="R289" s="91">
        <v>46</v>
      </c>
      <c r="S289" s="89">
        <v>46082</v>
      </c>
      <c r="T289" s="91">
        <v>6.8999999999999995</v>
      </c>
      <c r="U289" s="90">
        <v>4</v>
      </c>
      <c r="V289" s="91">
        <v>39.1</v>
      </c>
      <c r="W289" s="81" t="s">
        <v>85</v>
      </c>
      <c r="X289" s="81" t="s">
        <v>76</v>
      </c>
      <c r="Y289" s="81" t="s">
        <v>6</v>
      </c>
      <c r="Z289" s="81" t="s">
        <v>57</v>
      </c>
      <c r="AA289" s="81" t="s">
        <v>32</v>
      </c>
      <c r="AB289" s="90" t="s">
        <v>162</v>
      </c>
      <c r="AC289" s="81" t="s">
        <v>65</v>
      </c>
    </row>
    <row r="290" spans="1:29">
      <c r="A290" s="81" t="s">
        <v>93</v>
      </c>
      <c r="B290" s="84">
        <v>46110</v>
      </c>
      <c r="C290" s="83">
        <v>46110</v>
      </c>
      <c r="D290" s="85" t="s">
        <v>169</v>
      </c>
      <c r="E290" s="86">
        <v>0.83333333333333337</v>
      </c>
      <c r="F290" s="86">
        <v>0.99930555555555556</v>
      </c>
      <c r="G290" s="86">
        <v>3.4722222222222218E-4</v>
      </c>
      <c r="H290" s="81" t="s">
        <v>180</v>
      </c>
      <c r="I290" s="87" t="s">
        <v>130</v>
      </c>
      <c r="J290" s="81" t="s">
        <v>78</v>
      </c>
      <c r="K290" s="81"/>
      <c r="L290" s="81">
        <v>1</v>
      </c>
      <c r="M290" s="81">
        <v>69733</v>
      </c>
      <c r="N290" s="81" t="s">
        <v>33</v>
      </c>
      <c r="O290" s="81" t="s">
        <v>161</v>
      </c>
      <c r="P290" s="91">
        <v>46</v>
      </c>
      <c r="Q290" s="81"/>
      <c r="R290" s="91">
        <v>46</v>
      </c>
      <c r="S290" s="89">
        <v>46082</v>
      </c>
      <c r="T290" s="91">
        <v>6.8999999999999995</v>
      </c>
      <c r="U290" s="90">
        <v>4</v>
      </c>
      <c r="V290" s="91">
        <v>39.1</v>
      </c>
      <c r="W290" s="81" t="s">
        <v>85</v>
      </c>
      <c r="X290" s="81" t="s">
        <v>76</v>
      </c>
      <c r="Y290" s="81" t="s">
        <v>6</v>
      </c>
      <c r="Z290" s="81" t="s">
        <v>57</v>
      </c>
      <c r="AA290" s="81" t="s">
        <v>32</v>
      </c>
      <c r="AB290" s="90" t="s">
        <v>162</v>
      </c>
      <c r="AC290" s="81" t="s">
        <v>65</v>
      </c>
    </row>
    <row r="291" spans="1:29">
      <c r="A291" s="81" t="s">
        <v>93</v>
      </c>
      <c r="B291" s="84">
        <v>46102</v>
      </c>
      <c r="C291" s="83">
        <v>46102</v>
      </c>
      <c r="D291" s="85" t="s">
        <v>168</v>
      </c>
      <c r="E291" s="86">
        <v>0.83333333333333337</v>
      </c>
      <c r="F291" s="86">
        <v>0.99930555555555556</v>
      </c>
      <c r="G291" s="86">
        <v>3.4722222222222218E-4</v>
      </c>
      <c r="H291" s="81" t="s">
        <v>180</v>
      </c>
      <c r="I291" s="87" t="s">
        <v>120</v>
      </c>
      <c r="J291" s="81" t="s">
        <v>78</v>
      </c>
      <c r="K291" s="81"/>
      <c r="L291" s="81">
        <v>1</v>
      </c>
      <c r="M291" s="81">
        <v>69733</v>
      </c>
      <c r="N291" s="81" t="s">
        <v>33</v>
      </c>
      <c r="O291" s="81" t="s">
        <v>161</v>
      </c>
      <c r="P291" s="91">
        <v>46</v>
      </c>
      <c r="Q291" s="81"/>
      <c r="R291" s="91">
        <v>46</v>
      </c>
      <c r="S291" s="89">
        <v>46082</v>
      </c>
      <c r="T291" s="91">
        <v>6.8999999999999995</v>
      </c>
      <c r="U291" s="90">
        <v>4</v>
      </c>
      <c r="V291" s="91">
        <v>39.1</v>
      </c>
      <c r="W291" s="81" t="s">
        <v>85</v>
      </c>
      <c r="X291" s="81" t="s">
        <v>76</v>
      </c>
      <c r="Y291" s="81" t="s">
        <v>6</v>
      </c>
      <c r="Z291" s="81" t="s">
        <v>57</v>
      </c>
      <c r="AA291" s="81" t="s">
        <v>32</v>
      </c>
      <c r="AB291" s="90" t="s">
        <v>162</v>
      </c>
      <c r="AC291" s="81" t="s">
        <v>65</v>
      </c>
    </row>
    <row r="292" spans="1:29">
      <c r="A292" s="81" t="s">
        <v>93</v>
      </c>
      <c r="B292" s="84">
        <v>46103</v>
      </c>
      <c r="C292" s="83">
        <v>46103</v>
      </c>
      <c r="D292" s="85" t="s">
        <v>169</v>
      </c>
      <c r="E292" s="86">
        <v>0.83333333333333337</v>
      </c>
      <c r="F292" s="86">
        <v>0.99930555555555556</v>
      </c>
      <c r="G292" s="86">
        <v>3.4722222222222218E-4</v>
      </c>
      <c r="H292" s="81" t="s">
        <v>180</v>
      </c>
      <c r="I292" s="87" t="s">
        <v>121</v>
      </c>
      <c r="J292" s="81" t="s">
        <v>78</v>
      </c>
      <c r="K292" s="81"/>
      <c r="L292" s="81">
        <v>1</v>
      </c>
      <c r="M292" s="81">
        <v>69733</v>
      </c>
      <c r="N292" s="81" t="s">
        <v>33</v>
      </c>
      <c r="O292" s="81" t="s">
        <v>161</v>
      </c>
      <c r="P292" s="91">
        <v>46</v>
      </c>
      <c r="Q292" s="81"/>
      <c r="R292" s="91">
        <v>46</v>
      </c>
      <c r="S292" s="89">
        <v>46082</v>
      </c>
      <c r="T292" s="91">
        <v>6.8999999999999995</v>
      </c>
      <c r="U292" s="90">
        <v>4</v>
      </c>
      <c r="V292" s="91">
        <v>39.1</v>
      </c>
      <c r="W292" s="81" t="s">
        <v>85</v>
      </c>
      <c r="X292" s="81" t="s">
        <v>76</v>
      </c>
      <c r="Y292" s="81" t="s">
        <v>6</v>
      </c>
      <c r="Z292" s="81" t="s">
        <v>57</v>
      </c>
      <c r="AA292" s="81" t="s">
        <v>32</v>
      </c>
      <c r="AB292" s="90" t="s">
        <v>162</v>
      </c>
      <c r="AC292" s="81" t="s">
        <v>65</v>
      </c>
    </row>
    <row r="293" spans="1:29">
      <c r="A293" s="81" t="s">
        <v>93</v>
      </c>
      <c r="B293" s="84">
        <v>46109</v>
      </c>
      <c r="C293" s="83">
        <v>46109</v>
      </c>
      <c r="D293" s="85" t="s">
        <v>168</v>
      </c>
      <c r="E293" s="86">
        <v>0.83333333333333337</v>
      </c>
      <c r="F293" s="86">
        <v>0.99930555555555556</v>
      </c>
      <c r="G293" s="86">
        <v>3.4722222222222218E-4</v>
      </c>
      <c r="H293" s="81" t="s">
        <v>180</v>
      </c>
      <c r="I293" s="87" t="s">
        <v>179</v>
      </c>
      <c r="J293" s="81" t="s">
        <v>78</v>
      </c>
      <c r="K293" s="81"/>
      <c r="L293" s="81">
        <v>1</v>
      </c>
      <c r="M293" s="81">
        <v>69733</v>
      </c>
      <c r="N293" s="81" t="s">
        <v>33</v>
      </c>
      <c r="O293" s="81" t="s">
        <v>161</v>
      </c>
      <c r="P293" s="91">
        <v>46</v>
      </c>
      <c r="Q293" s="81"/>
      <c r="R293" s="91">
        <v>46</v>
      </c>
      <c r="S293" s="89">
        <v>46082</v>
      </c>
      <c r="T293" s="91">
        <v>6.8999999999999995</v>
      </c>
      <c r="U293" s="90">
        <v>4</v>
      </c>
      <c r="V293" s="91">
        <v>39.1</v>
      </c>
      <c r="W293" s="81" t="s">
        <v>85</v>
      </c>
      <c r="X293" s="81" t="s">
        <v>76</v>
      </c>
      <c r="Y293" s="81" t="s">
        <v>6</v>
      </c>
      <c r="Z293" s="81" t="s">
        <v>57</v>
      </c>
      <c r="AA293" s="81" t="s">
        <v>32</v>
      </c>
      <c r="AB293" s="90" t="s">
        <v>162</v>
      </c>
      <c r="AC293" s="81" t="s">
        <v>65</v>
      </c>
    </row>
    <row r="294" spans="1:29">
      <c r="A294" s="81" t="s">
        <v>93</v>
      </c>
      <c r="B294" s="84">
        <v>46095</v>
      </c>
      <c r="C294" s="83">
        <v>46095</v>
      </c>
      <c r="D294" s="85" t="s">
        <v>168</v>
      </c>
      <c r="E294" s="86">
        <v>0.83333333333333337</v>
      </c>
      <c r="F294" s="86">
        <v>0.99930555555555556</v>
      </c>
      <c r="G294" s="86">
        <v>3.4722222222222218E-4</v>
      </c>
      <c r="H294" s="81" t="s">
        <v>180</v>
      </c>
      <c r="I294" s="87" t="s">
        <v>172</v>
      </c>
      <c r="J294" s="81" t="s">
        <v>78</v>
      </c>
      <c r="K294" s="81"/>
      <c r="L294" s="81">
        <v>1</v>
      </c>
      <c r="M294" s="81">
        <v>69733</v>
      </c>
      <c r="N294" s="81" t="s">
        <v>33</v>
      </c>
      <c r="O294" s="81" t="s">
        <v>161</v>
      </c>
      <c r="P294" s="91">
        <v>46</v>
      </c>
      <c r="Q294" s="81"/>
      <c r="R294" s="91">
        <v>46</v>
      </c>
      <c r="S294" s="89">
        <v>46082</v>
      </c>
      <c r="T294" s="91">
        <v>6.8999999999999995</v>
      </c>
      <c r="U294" s="90">
        <v>4</v>
      </c>
      <c r="V294" s="91">
        <v>39.1</v>
      </c>
      <c r="W294" s="81" t="s">
        <v>85</v>
      </c>
      <c r="X294" s="81" t="s">
        <v>76</v>
      </c>
      <c r="Y294" s="81" t="s">
        <v>6</v>
      </c>
      <c r="Z294" s="81" t="s">
        <v>57</v>
      </c>
      <c r="AA294" s="81" t="s">
        <v>32</v>
      </c>
      <c r="AB294" s="90" t="s">
        <v>162</v>
      </c>
      <c r="AC294" s="81" t="s">
        <v>65</v>
      </c>
    </row>
  </sheetData>
  <autoFilter ref="A1:AC95" xr:uid="{00000000-0009-0000-0000-000001000000}"/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"/>
  <sheetViews>
    <sheetView workbookViewId="0">
      <selection activeCell="B5" sqref="B5"/>
    </sheetView>
  </sheetViews>
  <sheetFormatPr defaultRowHeight="15"/>
  <cols>
    <col min="1" max="1" width="13.140625" bestFit="1" customWidth="1"/>
    <col min="2" max="2" width="17.28515625" customWidth="1"/>
    <col min="3" max="3" width="17.85546875" bestFit="1" customWidth="1"/>
  </cols>
  <sheetData>
    <row r="3" spans="1:3">
      <c r="A3" s="40" t="s">
        <v>66</v>
      </c>
      <c r="B3" s="81" t="s">
        <v>69</v>
      </c>
      <c r="C3" s="81" t="s">
        <v>70</v>
      </c>
    </row>
    <row r="4" spans="1:3">
      <c r="A4" s="60">
        <v>46023</v>
      </c>
      <c r="B4" s="41">
        <v>4656</v>
      </c>
      <c r="C4" s="41">
        <v>3957.5999999999922</v>
      </c>
    </row>
    <row r="5" spans="1:3">
      <c r="A5" s="60">
        <v>46082</v>
      </c>
      <c r="B5" s="41">
        <v>4610</v>
      </c>
      <c r="C5" s="41">
        <v>3918.4999999999923</v>
      </c>
    </row>
    <row r="6" spans="1:3">
      <c r="A6" s="59" t="s">
        <v>67</v>
      </c>
      <c r="B6" s="41"/>
      <c r="C6" s="41"/>
    </row>
    <row r="7" spans="1:3">
      <c r="A7" s="59" t="s">
        <v>68</v>
      </c>
      <c r="B7" s="41">
        <v>9266</v>
      </c>
      <c r="C7" s="41">
        <v>7876.099999999984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Confirmation</vt:lpstr>
      <vt:lpstr>Run Sheet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Hudson</dc:creator>
  <cp:lastModifiedBy>Lee Hudson</cp:lastModifiedBy>
  <cp:lastPrinted>2010-05-14T17:53:22Z</cp:lastPrinted>
  <dcterms:created xsi:type="dcterms:W3CDTF">2010-05-13T01:42:58Z</dcterms:created>
  <dcterms:modified xsi:type="dcterms:W3CDTF">2026-01-06T15:02:41Z</dcterms:modified>
</cp:coreProperties>
</file>