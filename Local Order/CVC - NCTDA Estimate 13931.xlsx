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 Temp\!New\0330 HL Toyota\"/>
    </mc:Choice>
  </mc:AlternateContent>
  <xr:revisionPtr revIDLastSave="0" documentId="13_ncr:1_{736C3F52-1C6D-4719-956D-1A4E2A87EA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es Confirmation" sheetId="1" r:id="rId1"/>
    <sheet name="Run Sheet" sheetId="2" r:id="rId2"/>
    <sheet name="Sheet1" sheetId="3" r:id="rId3"/>
  </sheets>
  <definedNames>
    <definedName name="_xlnm._FilterDatabase" localSheetId="1" hidden="1">'Run Sheet'!$A$1:$AC$1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" i="1" l="1"/>
  <c r="E39" i="1"/>
  <c r="T95" i="2"/>
  <c r="V95" i="2" s="1"/>
  <c r="R95" i="2"/>
  <c r="D95" i="2"/>
  <c r="C95" i="2"/>
  <c r="T94" i="2"/>
  <c r="V94" i="2" s="1"/>
  <c r="R94" i="2"/>
  <c r="D94" i="2"/>
  <c r="C94" i="2"/>
  <c r="T93" i="2"/>
  <c r="V93" i="2" s="1"/>
  <c r="R93" i="2"/>
  <c r="D93" i="2"/>
  <c r="C93" i="2"/>
  <c r="T92" i="2"/>
  <c r="V92" i="2" s="1"/>
  <c r="R92" i="2"/>
  <c r="D92" i="2"/>
  <c r="C92" i="2"/>
  <c r="T91" i="2"/>
  <c r="V91" i="2" s="1"/>
  <c r="R91" i="2"/>
  <c r="D91" i="2"/>
  <c r="C91" i="2"/>
  <c r="V90" i="2"/>
  <c r="T90" i="2"/>
  <c r="R90" i="2"/>
  <c r="D90" i="2"/>
  <c r="C90" i="2"/>
  <c r="V89" i="2"/>
  <c r="T89" i="2"/>
  <c r="R89" i="2"/>
  <c r="D89" i="2"/>
  <c r="C89" i="2"/>
  <c r="T88" i="2"/>
  <c r="V88" i="2" s="1"/>
  <c r="R88" i="2"/>
  <c r="D88" i="2"/>
  <c r="C88" i="2"/>
  <c r="T87" i="2"/>
  <c r="V87" i="2" s="1"/>
  <c r="R87" i="2"/>
  <c r="D87" i="2"/>
  <c r="C87" i="2"/>
  <c r="V86" i="2"/>
  <c r="T86" i="2"/>
  <c r="R86" i="2"/>
  <c r="D86" i="2"/>
  <c r="C86" i="2"/>
  <c r="T85" i="2"/>
  <c r="V85" i="2" s="1"/>
  <c r="R85" i="2"/>
  <c r="D85" i="2"/>
  <c r="C85" i="2"/>
  <c r="T84" i="2"/>
  <c r="V84" i="2" s="1"/>
  <c r="R84" i="2"/>
  <c r="D84" i="2"/>
  <c r="C84" i="2"/>
  <c r="T83" i="2"/>
  <c r="V83" i="2" s="1"/>
  <c r="R83" i="2"/>
  <c r="D83" i="2"/>
  <c r="C83" i="2"/>
  <c r="V82" i="2"/>
  <c r="T82" i="2"/>
  <c r="R82" i="2"/>
  <c r="D82" i="2"/>
  <c r="C82" i="2"/>
  <c r="T81" i="2"/>
  <c r="V81" i="2" s="1"/>
  <c r="R81" i="2"/>
  <c r="D81" i="2"/>
  <c r="C81" i="2"/>
  <c r="T80" i="2"/>
  <c r="V80" i="2" s="1"/>
  <c r="R80" i="2"/>
  <c r="D80" i="2"/>
  <c r="C80" i="2"/>
  <c r="T79" i="2"/>
  <c r="V79" i="2" s="1"/>
  <c r="R79" i="2"/>
  <c r="D79" i="2"/>
  <c r="C79" i="2"/>
  <c r="T78" i="2"/>
  <c r="V78" i="2" s="1"/>
  <c r="R78" i="2"/>
  <c r="D78" i="2"/>
  <c r="C78" i="2"/>
  <c r="T77" i="2"/>
  <c r="V77" i="2" s="1"/>
  <c r="R77" i="2"/>
  <c r="D77" i="2"/>
  <c r="C77" i="2"/>
  <c r="T76" i="2"/>
  <c r="V76" i="2" s="1"/>
  <c r="R76" i="2"/>
  <c r="D76" i="2"/>
  <c r="C76" i="2"/>
  <c r="T75" i="2"/>
  <c r="V75" i="2" s="1"/>
  <c r="R75" i="2"/>
  <c r="D75" i="2"/>
  <c r="C75" i="2"/>
  <c r="T74" i="2"/>
  <c r="V74" i="2" s="1"/>
  <c r="R74" i="2"/>
  <c r="D74" i="2"/>
  <c r="C74" i="2"/>
  <c r="T73" i="2"/>
  <c r="V73" i="2" s="1"/>
  <c r="R73" i="2"/>
  <c r="D73" i="2"/>
  <c r="C73" i="2"/>
  <c r="T72" i="2"/>
  <c r="V72" i="2" s="1"/>
  <c r="R72" i="2"/>
  <c r="D72" i="2"/>
  <c r="C72" i="2"/>
  <c r="T71" i="2"/>
  <c r="V71" i="2" s="1"/>
  <c r="R71" i="2"/>
  <c r="D71" i="2"/>
  <c r="C71" i="2"/>
  <c r="T70" i="2"/>
  <c r="V70" i="2" s="1"/>
  <c r="R70" i="2"/>
  <c r="D70" i="2"/>
  <c r="C70" i="2"/>
  <c r="T69" i="2"/>
  <c r="V69" i="2" s="1"/>
  <c r="R69" i="2"/>
  <c r="D69" i="2"/>
  <c r="C69" i="2"/>
  <c r="V68" i="2"/>
  <c r="T68" i="2"/>
  <c r="R68" i="2"/>
  <c r="D68" i="2"/>
  <c r="C68" i="2"/>
  <c r="V67" i="2"/>
  <c r="T67" i="2"/>
  <c r="R67" i="2"/>
  <c r="D67" i="2"/>
  <c r="C67" i="2"/>
  <c r="T66" i="2"/>
  <c r="V66" i="2" s="1"/>
  <c r="R66" i="2"/>
  <c r="D66" i="2"/>
  <c r="C66" i="2"/>
  <c r="T65" i="2"/>
  <c r="V65" i="2" s="1"/>
  <c r="R65" i="2"/>
  <c r="D65" i="2"/>
  <c r="C65" i="2"/>
  <c r="V64" i="2"/>
  <c r="T64" i="2"/>
  <c r="R64" i="2"/>
  <c r="D64" i="2"/>
  <c r="C64" i="2"/>
  <c r="T63" i="2"/>
  <c r="V63" i="2" s="1"/>
  <c r="R63" i="2"/>
  <c r="D63" i="2"/>
  <c r="C63" i="2"/>
  <c r="T62" i="2"/>
  <c r="V62" i="2" s="1"/>
  <c r="R62" i="2"/>
  <c r="D62" i="2"/>
  <c r="C62" i="2"/>
  <c r="T61" i="2"/>
  <c r="V61" i="2" s="1"/>
  <c r="R61" i="2"/>
  <c r="D61" i="2"/>
  <c r="C61" i="2"/>
  <c r="V60" i="2"/>
  <c r="T60" i="2"/>
  <c r="R60" i="2"/>
  <c r="D60" i="2"/>
  <c r="C60" i="2"/>
  <c r="T59" i="2"/>
  <c r="V59" i="2" s="1"/>
  <c r="R59" i="2"/>
  <c r="D59" i="2"/>
  <c r="C59" i="2"/>
  <c r="T58" i="2"/>
  <c r="V58" i="2" s="1"/>
  <c r="R58" i="2"/>
  <c r="D58" i="2"/>
  <c r="C58" i="2"/>
  <c r="T57" i="2"/>
  <c r="V57" i="2" s="1"/>
  <c r="R57" i="2"/>
  <c r="D57" i="2"/>
  <c r="C57" i="2"/>
  <c r="T56" i="2"/>
  <c r="V56" i="2" s="1"/>
  <c r="R56" i="2"/>
  <c r="D56" i="2"/>
  <c r="C56" i="2"/>
  <c r="T55" i="2"/>
  <c r="V55" i="2" s="1"/>
  <c r="R55" i="2"/>
  <c r="D55" i="2"/>
  <c r="C55" i="2"/>
  <c r="T54" i="2"/>
  <c r="V54" i="2" s="1"/>
  <c r="R54" i="2"/>
  <c r="D54" i="2"/>
  <c r="C54" i="2"/>
  <c r="T53" i="2"/>
  <c r="V53" i="2" s="1"/>
  <c r="R53" i="2"/>
  <c r="D53" i="2"/>
  <c r="C53" i="2"/>
  <c r="T52" i="2"/>
  <c r="V52" i="2" s="1"/>
  <c r="R52" i="2"/>
  <c r="D52" i="2"/>
  <c r="C52" i="2"/>
  <c r="V51" i="2"/>
  <c r="T51" i="2"/>
  <c r="R51" i="2"/>
  <c r="D51" i="2"/>
  <c r="C51" i="2"/>
  <c r="T50" i="2"/>
  <c r="V50" i="2" s="1"/>
  <c r="R50" i="2"/>
  <c r="D50" i="2"/>
  <c r="C50" i="2"/>
  <c r="T49" i="2"/>
  <c r="V49" i="2" s="1"/>
  <c r="R49" i="2"/>
  <c r="D49" i="2"/>
  <c r="C49" i="2"/>
  <c r="T48" i="2"/>
  <c r="V48" i="2" s="1"/>
  <c r="R48" i="2"/>
  <c r="D48" i="2"/>
  <c r="C48" i="2"/>
  <c r="T47" i="2"/>
  <c r="V47" i="2" s="1"/>
  <c r="R47" i="2"/>
  <c r="D47" i="2"/>
  <c r="C47" i="2"/>
  <c r="V46" i="2"/>
  <c r="T46" i="2"/>
  <c r="R46" i="2"/>
  <c r="D46" i="2"/>
  <c r="C46" i="2"/>
  <c r="V45" i="2"/>
  <c r="T45" i="2"/>
  <c r="R45" i="2"/>
  <c r="D45" i="2"/>
  <c r="C45" i="2"/>
  <c r="T44" i="2"/>
  <c r="V44" i="2" s="1"/>
  <c r="R44" i="2"/>
  <c r="D44" i="2"/>
  <c r="C44" i="2"/>
  <c r="T43" i="2"/>
  <c r="V43" i="2" s="1"/>
  <c r="R43" i="2"/>
  <c r="D43" i="2"/>
  <c r="C43" i="2"/>
  <c r="V42" i="2"/>
  <c r="T42" i="2"/>
  <c r="R42" i="2"/>
  <c r="D42" i="2"/>
  <c r="C42" i="2"/>
  <c r="T41" i="2"/>
  <c r="V41" i="2" s="1"/>
  <c r="R41" i="2"/>
  <c r="D41" i="2"/>
  <c r="C41" i="2"/>
  <c r="T40" i="2"/>
  <c r="V40" i="2" s="1"/>
  <c r="R40" i="2"/>
  <c r="D40" i="2"/>
  <c r="C40" i="2"/>
  <c r="T39" i="2"/>
  <c r="V39" i="2" s="1"/>
  <c r="R39" i="2"/>
  <c r="D39" i="2"/>
  <c r="C39" i="2"/>
  <c r="V38" i="2"/>
  <c r="T38" i="2"/>
  <c r="R38" i="2"/>
  <c r="D38" i="2"/>
  <c r="C38" i="2"/>
  <c r="T37" i="2"/>
  <c r="V37" i="2" s="1"/>
  <c r="R37" i="2"/>
  <c r="D37" i="2"/>
  <c r="C37" i="2"/>
  <c r="T36" i="2"/>
  <c r="V36" i="2" s="1"/>
  <c r="R36" i="2"/>
  <c r="D36" i="2"/>
  <c r="C36" i="2"/>
  <c r="T35" i="2"/>
  <c r="V35" i="2" s="1"/>
  <c r="R35" i="2"/>
  <c r="D35" i="2"/>
  <c r="C35" i="2"/>
  <c r="T34" i="2"/>
  <c r="V34" i="2" s="1"/>
  <c r="R34" i="2"/>
  <c r="D34" i="2"/>
  <c r="C34" i="2"/>
  <c r="T33" i="2"/>
  <c r="V33" i="2" s="1"/>
  <c r="R33" i="2"/>
  <c r="D33" i="2"/>
  <c r="C33" i="2"/>
  <c r="T32" i="2"/>
  <c r="V32" i="2" s="1"/>
  <c r="R32" i="2"/>
  <c r="D32" i="2"/>
  <c r="C32" i="2"/>
  <c r="T31" i="2"/>
  <c r="V31" i="2" s="1"/>
  <c r="R31" i="2"/>
  <c r="D31" i="2"/>
  <c r="C31" i="2"/>
  <c r="T30" i="2"/>
  <c r="V30" i="2" s="1"/>
  <c r="R30" i="2"/>
  <c r="D30" i="2"/>
  <c r="C30" i="2"/>
  <c r="V29" i="2"/>
  <c r="T29" i="2"/>
  <c r="R29" i="2"/>
  <c r="D29" i="2"/>
  <c r="C29" i="2"/>
  <c r="T28" i="2"/>
  <c r="V28" i="2" s="1"/>
  <c r="R28" i="2"/>
  <c r="D28" i="2"/>
  <c r="C28" i="2"/>
  <c r="T27" i="2"/>
  <c r="V27" i="2" s="1"/>
  <c r="R27" i="2"/>
  <c r="D27" i="2"/>
  <c r="C27" i="2"/>
  <c r="T26" i="2"/>
  <c r="V26" i="2" s="1"/>
  <c r="R26" i="2"/>
  <c r="D26" i="2"/>
  <c r="C26" i="2"/>
  <c r="T25" i="2"/>
  <c r="V25" i="2" s="1"/>
  <c r="R25" i="2"/>
  <c r="D25" i="2"/>
  <c r="C25" i="2"/>
  <c r="V24" i="2"/>
  <c r="T24" i="2"/>
  <c r="R24" i="2"/>
  <c r="D24" i="2"/>
  <c r="C24" i="2"/>
  <c r="V23" i="2"/>
  <c r="T23" i="2"/>
  <c r="R23" i="2"/>
  <c r="D23" i="2"/>
  <c r="C23" i="2"/>
  <c r="T22" i="2"/>
  <c r="V22" i="2" s="1"/>
  <c r="R22" i="2"/>
  <c r="D22" i="2"/>
  <c r="C22" i="2"/>
  <c r="T21" i="2"/>
  <c r="V21" i="2" s="1"/>
  <c r="R21" i="2"/>
  <c r="D21" i="2"/>
  <c r="C21" i="2"/>
  <c r="V20" i="2"/>
  <c r="T20" i="2"/>
  <c r="R20" i="2"/>
  <c r="D20" i="2"/>
  <c r="C20" i="2"/>
  <c r="T19" i="2"/>
  <c r="V19" i="2" s="1"/>
  <c r="R19" i="2"/>
  <c r="D19" i="2"/>
  <c r="C19" i="2"/>
  <c r="T18" i="2"/>
  <c r="V18" i="2" s="1"/>
  <c r="R18" i="2"/>
  <c r="D18" i="2"/>
  <c r="C18" i="2"/>
  <c r="T17" i="2"/>
  <c r="V17" i="2" s="1"/>
  <c r="R17" i="2"/>
  <c r="D17" i="2"/>
  <c r="C17" i="2"/>
  <c r="V16" i="2"/>
  <c r="T16" i="2"/>
  <c r="R16" i="2"/>
  <c r="D16" i="2"/>
  <c r="C16" i="2"/>
  <c r="T15" i="2"/>
  <c r="V15" i="2" s="1"/>
  <c r="R15" i="2"/>
  <c r="D15" i="2"/>
  <c r="C15" i="2"/>
  <c r="T14" i="2"/>
  <c r="V14" i="2" s="1"/>
  <c r="R14" i="2"/>
  <c r="D14" i="2"/>
  <c r="C14" i="2"/>
  <c r="T13" i="2"/>
  <c r="V13" i="2" s="1"/>
  <c r="R13" i="2"/>
  <c r="D13" i="2"/>
  <c r="C13" i="2"/>
  <c r="T12" i="2"/>
  <c r="V12" i="2" s="1"/>
  <c r="R12" i="2"/>
  <c r="D12" i="2"/>
  <c r="C12" i="2"/>
  <c r="T11" i="2"/>
  <c r="V11" i="2" s="1"/>
  <c r="R11" i="2"/>
  <c r="D11" i="2"/>
  <c r="C11" i="2"/>
  <c r="T10" i="2"/>
  <c r="V10" i="2" s="1"/>
  <c r="R10" i="2"/>
  <c r="D10" i="2"/>
  <c r="C10" i="2"/>
  <c r="T9" i="2"/>
  <c r="V9" i="2" s="1"/>
  <c r="R9" i="2"/>
  <c r="D9" i="2"/>
  <c r="C9" i="2"/>
  <c r="T8" i="2"/>
  <c r="V8" i="2" s="1"/>
  <c r="R8" i="2"/>
  <c r="D8" i="2"/>
  <c r="C8" i="2"/>
  <c r="V7" i="2"/>
  <c r="T7" i="2"/>
  <c r="R7" i="2"/>
  <c r="D7" i="2"/>
  <c r="C7" i="2"/>
  <c r="T6" i="2"/>
  <c r="V6" i="2" s="1"/>
  <c r="R6" i="2"/>
  <c r="D6" i="2"/>
  <c r="C6" i="2"/>
  <c r="T5" i="2"/>
  <c r="V5" i="2" s="1"/>
  <c r="R5" i="2"/>
  <c r="D5" i="2"/>
  <c r="C5" i="2"/>
  <c r="T4" i="2"/>
  <c r="V4" i="2" s="1"/>
  <c r="R4" i="2"/>
  <c r="D4" i="2"/>
  <c r="C4" i="2"/>
  <c r="T3" i="2"/>
  <c r="V3" i="2" s="1"/>
  <c r="R3" i="2"/>
  <c r="D3" i="2"/>
  <c r="C3" i="2"/>
  <c r="T2" i="2"/>
  <c r="V2" i="2" s="1"/>
  <c r="R2" i="2"/>
  <c r="D2" i="2"/>
  <c r="C2" i="2"/>
  <c r="E41" i="1"/>
  <c r="D41" i="1"/>
  <c r="L26" i="1" l="1"/>
  <c r="P26" i="1" s="1"/>
  <c r="L25" i="1"/>
  <c r="P25" i="1" s="1"/>
  <c r="L24" i="1"/>
  <c r="P24" i="1" s="1"/>
  <c r="L23" i="1"/>
  <c r="P23" i="1" s="1"/>
  <c r="L22" i="1"/>
  <c r="P22" i="1" s="1"/>
  <c r="L21" i="1"/>
  <c r="P21" i="1" s="1"/>
  <c r="L15" i="1" l="1"/>
  <c r="P15" i="1" s="1"/>
  <c r="L14" i="1"/>
  <c r="L18" i="1"/>
  <c r="P18" i="1" s="1"/>
  <c r="L16" i="1"/>
  <c r="P16" i="1" s="1"/>
  <c r="P14" i="1" l="1"/>
  <c r="L17" i="1"/>
  <c r="P17" i="1" s="1"/>
  <c r="L19" i="1" l="1"/>
  <c r="P19" i="1" s="1"/>
  <c r="L20" i="1"/>
  <c r="P20" i="1" s="1"/>
  <c r="P27" i="1" l="1"/>
  <c r="P28" i="1" s="1"/>
  <c r="P29" i="1" s="1"/>
  <c r="L27" i="1"/>
</calcChain>
</file>

<file path=xl/sharedStrings.xml><?xml version="1.0" encoding="utf-8"?>
<sst xmlns="http://schemas.openxmlformats.org/spreadsheetml/2006/main" count="1360" uniqueCount="152">
  <si>
    <t>Client</t>
  </si>
  <si>
    <t>Advertiser</t>
  </si>
  <si>
    <t>Contact</t>
  </si>
  <si>
    <t>Address</t>
  </si>
  <si>
    <t>Estimate</t>
  </si>
  <si>
    <t>Billing Type</t>
  </si>
  <si>
    <t>Broadcast</t>
  </si>
  <si>
    <t>Phone</t>
  </si>
  <si>
    <t>Market</t>
  </si>
  <si>
    <t>Fax</t>
  </si>
  <si>
    <t>Email</t>
  </si>
  <si>
    <t>Contract Number</t>
  </si>
  <si>
    <t>Bill Code</t>
  </si>
  <si>
    <t>Air Date</t>
  </si>
  <si>
    <t>End Date</t>
  </si>
  <si>
    <t>Day</t>
  </si>
  <si>
    <t>Time In</t>
  </si>
  <si>
    <t>Time out</t>
  </si>
  <si>
    <t>Length</t>
  </si>
  <si>
    <t>Media</t>
  </si>
  <si>
    <t>Lang.</t>
  </si>
  <si>
    <t>Format</t>
  </si>
  <si>
    <t>#</t>
  </si>
  <si>
    <t>Type</t>
  </si>
  <si>
    <t>Make Good</t>
  </si>
  <si>
    <t>Spot Value</t>
  </si>
  <si>
    <t>Broker Fees</t>
  </si>
  <si>
    <t>Station Net</t>
  </si>
  <si>
    <t>Sales Person</t>
  </si>
  <si>
    <t>Revenue Type</t>
  </si>
  <si>
    <t>Agency?</t>
  </si>
  <si>
    <t>Affidavit?</t>
  </si>
  <si>
    <t>Y</t>
  </si>
  <si>
    <t>COM</t>
  </si>
  <si>
    <t>SALES CONFIRMATION - CROSSINGS TV</t>
  </si>
  <si>
    <t>Start Date</t>
  </si>
  <si>
    <t>Line Number</t>
  </si>
  <si>
    <t>TP/Program/Lang Ordered</t>
  </si>
  <si>
    <t>Total # of Units</t>
  </si>
  <si>
    <t># spt per</t>
  </si>
  <si>
    <t>Per ____</t>
  </si>
  <si>
    <t>Spot type</t>
  </si>
  <si>
    <t>Additional Notes</t>
  </si>
  <si>
    <t>Gross Rate</t>
  </si>
  <si>
    <t>Agency Discount</t>
  </si>
  <si>
    <t>spots</t>
  </si>
  <si>
    <t>Station Rep Signature</t>
  </si>
  <si>
    <t>Client Signature</t>
  </si>
  <si>
    <t>Date Order Written</t>
  </si>
  <si>
    <t>Program</t>
  </si>
  <si>
    <t>Revision</t>
  </si>
  <si>
    <t>Station Representative</t>
  </si>
  <si>
    <t>Gross Amount</t>
  </si>
  <si>
    <t>Net Amount of Contract</t>
  </si>
  <si>
    <t># of days, wks, mos</t>
  </si>
  <si>
    <t>Gross Unit Rate</t>
  </si>
  <si>
    <t>Gross Line Total</t>
  </si>
  <si>
    <t>Agency</t>
  </si>
  <si>
    <t>CA</t>
  </si>
  <si>
    <t>Northern California Toyota Dealer's Assocation</t>
  </si>
  <si>
    <t>MONTHLY BREAKDOWN</t>
  </si>
  <si>
    <t>Total</t>
  </si>
  <si>
    <t>Month</t>
  </si>
  <si>
    <t>Gross</t>
  </si>
  <si>
    <t>Net</t>
  </si>
  <si>
    <t>Line</t>
  </si>
  <si>
    <t>Charmaine Lane</t>
  </si>
  <si>
    <t>Row Labels</t>
  </si>
  <si>
    <t>(blank)</t>
  </si>
  <si>
    <t>Grand Total</t>
  </si>
  <si>
    <t>Sum of Gross Rate</t>
  </si>
  <si>
    <t>Sum of Station Net</t>
  </si>
  <si>
    <t>CVC</t>
  </si>
  <si>
    <t>BNS</t>
  </si>
  <si>
    <t>100 Webster St</t>
  </si>
  <si>
    <t>Oakland</t>
  </si>
  <si>
    <t>Priority</t>
  </si>
  <si>
    <t>:30</t>
  </si>
  <si>
    <t>20:20:00</t>
  </si>
  <si>
    <t>Internal Ad Sales</t>
  </si>
  <si>
    <t>Contract</t>
  </si>
  <si>
    <t>13:38:30</t>
  </si>
  <si>
    <t>H&amp;L Partners</t>
  </si>
  <si>
    <t>13:09:00</t>
  </si>
  <si>
    <t>18:38:00</t>
  </si>
  <si>
    <t>H&amp;L Partners:Northern California Toyota Dealer's Assocation</t>
  </si>
  <si>
    <t>SA</t>
  </si>
  <si>
    <t>T</t>
  </si>
  <si>
    <t>C</t>
  </si>
  <si>
    <t>M</t>
  </si>
  <si>
    <t>13:19:00</t>
  </si>
  <si>
    <t>18:59:00</t>
  </si>
  <si>
    <t>19:25:30</t>
  </si>
  <si>
    <t>19:29:00</t>
  </si>
  <si>
    <t>19:44:00</t>
  </si>
  <si>
    <t>19:59:00</t>
  </si>
  <si>
    <t>20:48:30</t>
  </si>
  <si>
    <t>20:31:00</t>
  </si>
  <si>
    <t>20:59:00</t>
  </si>
  <si>
    <t>21:28:00</t>
  </si>
  <si>
    <t>W-F 6:30p-7p Filipino News</t>
  </si>
  <si>
    <t>W-F 7p-8p Cantonese</t>
  </si>
  <si>
    <t>W-Su 8p-9p Mandarin News</t>
  </si>
  <si>
    <t>13:48:30</t>
  </si>
  <si>
    <t>order</t>
  </si>
  <si>
    <t>M-F 1p-2p Hindi News/Talk</t>
  </si>
  <si>
    <t>M-F 6:30p-7p Filipino News</t>
  </si>
  <si>
    <t>M-F 7p-8p Cantonese</t>
  </si>
  <si>
    <t>M-Su 7p-12a Chinese ROS</t>
  </si>
  <si>
    <t>M-Su 8p-9p Mandarin News</t>
  </si>
  <si>
    <t>M-F 9p-11:30p Chinese Drama/Variety</t>
  </si>
  <si>
    <t>Sa-Su 9p-11:30p Chinese Variety</t>
  </si>
  <si>
    <t>W-F 1p-2p Hindi Talk/News</t>
  </si>
  <si>
    <t>W-Su 7p-12a Chinese ROS</t>
  </si>
  <si>
    <t>W-F 9p-11:30 Chinese Variety</t>
  </si>
  <si>
    <t>13:29:00</t>
  </si>
  <si>
    <t>18:49:00</t>
  </si>
  <si>
    <t>21:38:00</t>
  </si>
  <si>
    <t>21:48:00</t>
  </si>
  <si>
    <t>23:44:00</t>
  </si>
  <si>
    <t>April</t>
  </si>
  <si>
    <t>Tracey Tschappat</t>
  </si>
  <si>
    <t>ttschappat@hl.agency</t>
  </si>
  <si>
    <t>Toyota_2026 April ACM TV</t>
  </si>
  <si>
    <t>May</t>
  </si>
  <si>
    <t>NEED COPY</t>
  </si>
  <si>
    <t>13931-CV</t>
  </si>
  <si>
    <t>2569</t>
  </si>
  <si>
    <t>13:58:30</t>
  </si>
  <si>
    <t>19:14:00</t>
  </si>
  <si>
    <t>19:50:00</t>
  </si>
  <si>
    <t>19:55:15</t>
  </si>
  <si>
    <t>19:58:00</t>
  </si>
  <si>
    <t>19:42:00</t>
  </si>
  <si>
    <t>M/C</t>
  </si>
  <si>
    <t>22:05:00</t>
  </si>
  <si>
    <t>22:11:00</t>
  </si>
  <si>
    <t>22:43:00</t>
  </si>
  <si>
    <t>23:11:00</t>
  </si>
  <si>
    <t>23:40:00</t>
  </si>
  <si>
    <t>23:58:30</t>
  </si>
  <si>
    <t>21:08:00</t>
  </si>
  <si>
    <t>21:18:00</t>
  </si>
  <si>
    <t>21:58:00</t>
  </si>
  <si>
    <t>22:10:00</t>
  </si>
  <si>
    <t>22:40:00</t>
  </si>
  <si>
    <t>23:25:00</t>
  </si>
  <si>
    <t>23:27:00</t>
  </si>
  <si>
    <t>23:28:00</t>
  </si>
  <si>
    <t>22:12:00</t>
  </si>
  <si>
    <t>22:27:00</t>
  </si>
  <si>
    <t>23:56:00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</si>
</sst>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$&quot;#,##0.00_);\(&quot;$&quot;#,##0.00\)"/>
    <numFmt numFmtId="44" formatCode="_(&quot;$&quot;* #,##0.00_);_(&quot;$&quot;* \(#,##0.00\);_(&quot;$&quot;* &quot;-&quot;??_);_(@_)"/>
    <numFmt numFmtId="164" formatCode="[&lt;=9999999]###\-####;\(###\)\ ###\-####"/>
    <numFmt numFmtId="165" formatCode="[h]:mm:ss;@"/>
    <numFmt numFmtId="166" formatCode="m/d/yy"/>
    <numFmt numFmtId="167" formatCode="[$-409]mmmm\-yy;@"/>
    <numFmt numFmtId="168" formatCode="&quot;$&quot;#,##0.00"/>
  </numFmts>
  <fonts count="2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u/>
      <sz val="11"/>
      <color indexed="8"/>
      <name val="Calibri"/>
      <family val="2"/>
    </font>
    <font>
      <sz val="12"/>
      <name val="Arial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0"/>
      <name val="Arial"/>
      <family val="2"/>
    </font>
    <font>
      <b/>
      <i/>
      <sz val="11"/>
      <color indexed="8"/>
      <name val="Calibri"/>
      <family val="2"/>
    </font>
    <font>
      <i/>
      <sz val="11"/>
      <color indexed="8"/>
      <name val="Calibri"/>
      <family val="2"/>
    </font>
    <font>
      <sz val="9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thick">
        <color indexed="64"/>
      </right>
      <top/>
      <bottom style="double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double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9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44" fontId="5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20" fillId="7" borderId="1" applyNumberFormat="0" applyAlignment="0" applyProtection="0"/>
    <xf numFmtId="0" fontId="20" fillId="7" borderId="1" applyNumberFormat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7" fillId="0" borderId="0"/>
    <xf numFmtId="0" fontId="3" fillId="0" borderId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</cellStyleXfs>
  <cellXfs count="9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  <xf numFmtId="0" fontId="4" fillId="24" borderId="11" xfId="78" applyFont="1" applyFill="1" applyBorder="1" applyAlignment="1">
      <alignment horizontal="center" vertical="top" wrapText="1"/>
    </xf>
    <xf numFmtId="14" fontId="4" fillId="24" borderId="11" xfId="78" applyNumberFormat="1" applyFont="1" applyFill="1" applyBorder="1" applyAlignment="1">
      <alignment horizontal="center" vertical="top" wrapText="1"/>
    </xf>
    <xf numFmtId="165" fontId="4" fillId="24" borderId="11" xfId="78" applyNumberFormat="1" applyFont="1" applyFill="1" applyBorder="1" applyAlignment="1">
      <alignment horizontal="center" vertical="top" wrapText="1"/>
    </xf>
    <xf numFmtId="21" fontId="4" fillId="24" borderId="11" xfId="78" applyNumberFormat="1" applyFont="1" applyFill="1" applyBorder="1" applyAlignment="1">
      <alignment horizontal="center" vertical="top" wrapText="1"/>
    </xf>
    <xf numFmtId="44" fontId="4" fillId="24" borderId="11" xfId="55" applyFont="1" applyFill="1" applyBorder="1" applyAlignment="1" applyProtection="1">
      <alignment horizontal="center" vertical="top" wrapText="1"/>
    </xf>
    <xf numFmtId="0" fontId="6" fillId="0" borderId="0" xfId="0" applyFont="1" applyAlignment="1">
      <alignment horizontal="center" vertical="center" wrapText="1"/>
    </xf>
    <xf numFmtId="166" fontId="6" fillId="0" borderId="0" xfId="0" applyNumberFormat="1" applyFont="1" applyAlignment="1" applyProtection="1">
      <alignment horizontal="center" vertical="center" wrapText="1"/>
      <protection locked="0"/>
    </xf>
    <xf numFmtId="14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44" fontId="6" fillId="0" borderId="0" xfId="56" applyFont="1" applyFill="1" applyBorder="1" applyAlignment="1" applyProtection="1">
      <alignment horizontal="center" vertical="center" wrapText="1"/>
    </xf>
    <xf numFmtId="0" fontId="5" fillId="0" borderId="12" xfId="0" applyFont="1" applyBorder="1"/>
    <xf numFmtId="0" fontId="5" fillId="0" borderId="12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8" fillId="0" borderId="12" xfId="0" applyFont="1" applyBorder="1" applyAlignment="1">
      <alignment horizontal="right"/>
    </xf>
    <xf numFmtId="0" fontId="9" fillId="0" borderId="12" xfId="0" applyFont="1" applyBorder="1" applyAlignment="1">
      <alignment horizontal="center"/>
    </xf>
    <xf numFmtId="44" fontId="9" fillId="0" borderId="13" xfId="0" applyNumberFormat="1" applyFon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0" fontId="9" fillId="0" borderId="14" xfId="0" applyFont="1" applyBorder="1" applyAlignment="1">
      <alignment horizontal="center"/>
    </xf>
    <xf numFmtId="9" fontId="9" fillId="0" borderId="14" xfId="0" applyNumberFormat="1" applyFont="1" applyBorder="1" applyAlignment="1">
      <alignment horizontal="center"/>
    </xf>
    <xf numFmtId="44" fontId="9" fillId="0" borderId="15" xfId="0" applyNumberFormat="1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44" fontId="5" fillId="0" borderId="19" xfId="0" applyNumberFormat="1" applyFont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26" fillId="0" borderId="0" xfId="70" applyBorder="1" applyAlignment="1" applyProtection="1"/>
    <xf numFmtId="9" fontId="9" fillId="0" borderId="21" xfId="0" applyNumberFormat="1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44" fontId="6" fillId="0" borderId="0" xfId="55" applyFont="1" applyFill="1" applyBorder="1" applyAlignment="1" applyProtection="1">
      <alignment horizontal="center" vertical="center" wrapText="1"/>
    </xf>
    <xf numFmtId="1" fontId="9" fillId="0" borderId="22" xfId="0" applyNumberFormat="1" applyFont="1" applyBorder="1" applyAlignment="1">
      <alignment horizontal="center"/>
    </xf>
    <xf numFmtId="166" fontId="6" fillId="0" borderId="0" xfId="0" applyNumberFormat="1" applyFont="1" applyAlignment="1">
      <alignment horizontal="center" vertical="center" wrapText="1"/>
    </xf>
    <xf numFmtId="0" fontId="1" fillId="0" borderId="0" xfId="0" applyFont="1"/>
    <xf numFmtId="0" fontId="5" fillId="0" borderId="14" xfId="0" applyFont="1" applyBorder="1"/>
    <xf numFmtId="44" fontId="5" fillId="0" borderId="14" xfId="55" applyFont="1" applyBorder="1"/>
    <xf numFmtId="44" fontId="5" fillId="0" borderId="0" xfId="55" applyFont="1" applyAlignment="1">
      <alignment horizontal="center"/>
    </xf>
    <xf numFmtId="44" fontId="5" fillId="0" borderId="14" xfId="0" applyNumberFormat="1" applyFont="1" applyBorder="1"/>
    <xf numFmtId="0" fontId="9" fillId="0" borderId="0" xfId="0" applyFont="1"/>
    <xf numFmtId="44" fontId="5" fillId="0" borderId="0" xfId="0" applyNumberFormat="1" applyFont="1" applyAlignment="1">
      <alignment horizontal="center"/>
    </xf>
    <xf numFmtId="0" fontId="0" fillId="0" borderId="10" xfId="0" applyBorder="1" applyAlignment="1">
      <alignment horizontal="center"/>
    </xf>
    <xf numFmtId="167" fontId="4" fillId="24" borderId="11" xfId="55" applyNumberFormat="1" applyFont="1" applyFill="1" applyBorder="1" applyAlignment="1" applyProtection="1">
      <alignment horizontal="center" vertical="top" wrapText="1"/>
    </xf>
    <xf numFmtId="167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168" fontId="0" fillId="0" borderId="0" xfId="0" applyNumberFormat="1"/>
    <xf numFmtId="1" fontId="0" fillId="0" borderId="0" xfId="0" applyNumberFormat="1" applyAlignment="1">
      <alignment horizontal="center" vertical="center"/>
    </xf>
    <xf numFmtId="1" fontId="4" fillId="24" borderId="11" xfId="55" applyNumberFormat="1" applyFont="1" applyFill="1" applyBorder="1" applyAlignment="1" applyProtection="1">
      <alignment horizontal="center" vertical="top" wrapText="1"/>
    </xf>
    <xf numFmtId="1" fontId="0" fillId="0" borderId="0" xfId="0" applyNumberFormat="1"/>
    <xf numFmtId="166" fontId="0" fillId="0" borderId="0" xfId="0" applyNumberFormat="1"/>
    <xf numFmtId="14" fontId="0" fillId="0" borderId="0" xfId="0" applyNumberFormat="1"/>
    <xf numFmtId="46" fontId="6" fillId="0" borderId="0" xfId="0" applyNumberFormat="1" applyFont="1" applyAlignment="1">
      <alignment horizontal="center" vertical="center" wrapText="1"/>
    </xf>
    <xf numFmtId="165" fontId="0" fillId="0" borderId="0" xfId="0" applyNumberFormat="1"/>
    <xf numFmtId="7" fontId="6" fillId="0" borderId="0" xfId="56" applyNumberFormat="1" applyFont="1" applyAlignment="1">
      <alignment horizontal="center" vertical="center" wrapText="1"/>
    </xf>
    <xf numFmtId="17" fontId="0" fillId="0" borderId="0" xfId="0" applyNumberFormat="1"/>
    <xf numFmtId="1" fontId="7" fillId="0" borderId="0" xfId="56" applyNumberFormat="1"/>
    <xf numFmtId="7" fontId="6" fillId="0" borderId="0" xfId="0" applyNumberFormat="1" applyFont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166" fontId="4" fillId="0" borderId="0" xfId="0" applyNumberFormat="1" applyFont="1" applyAlignment="1" applyProtection="1">
      <alignment horizontal="center" vertical="center" wrapText="1"/>
      <protection locked="0"/>
    </xf>
    <xf numFmtId="14" fontId="4" fillId="0" borderId="0" xfId="0" applyNumberFormat="1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4" fontId="4" fillId="0" borderId="0" xfId="55" applyFont="1" applyFill="1" applyBorder="1" applyAlignment="1" applyProtection="1">
      <alignment horizontal="center" vertical="center" wrapText="1"/>
    </xf>
    <xf numFmtId="44" fontId="4" fillId="0" borderId="0" xfId="56" applyFont="1" applyFill="1" applyBorder="1" applyAlignment="1" applyProtection="1">
      <alignment horizontal="center" vertical="center" wrapText="1"/>
    </xf>
    <xf numFmtId="44" fontId="5" fillId="0" borderId="0" xfId="55" applyFont="1" applyBorder="1"/>
    <xf numFmtId="44" fontId="5" fillId="0" borderId="0" xfId="0" applyNumberFormat="1" applyFont="1"/>
    <xf numFmtId="0" fontId="0" fillId="0" borderId="24" xfId="0" applyBorder="1" applyAlignment="1">
      <alignment horizontal="center" vertical="top" wrapText="1"/>
    </xf>
    <xf numFmtId="0" fontId="5" fillId="0" borderId="25" xfId="0" applyFont="1" applyBorder="1" applyAlignment="1">
      <alignment horizontal="center" vertical="top" wrapText="1"/>
    </xf>
    <xf numFmtId="0" fontId="5" fillId="0" borderId="26" xfId="0" applyFont="1" applyBorder="1" applyAlignment="1">
      <alignment horizontal="center" vertical="top" wrapText="1"/>
    </xf>
    <xf numFmtId="0" fontId="5" fillId="0" borderId="27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28" xfId="0" applyFont="1" applyBorder="1" applyAlignment="1">
      <alignment horizontal="center" vertical="top" wrapText="1"/>
    </xf>
    <xf numFmtId="0" fontId="5" fillId="0" borderId="29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30" xfId="0" applyFont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10" xfId="0" applyBorder="1" applyAlignment="1">
      <alignment horizontal="left"/>
    </xf>
    <xf numFmtId="0" fontId="0" fillId="0" borderId="0" xfId="0" applyAlignment="1">
      <alignment horizontal="left"/>
    </xf>
    <xf numFmtId="0" fontId="2" fillId="0" borderId="10" xfId="0" applyFont="1" applyBorder="1" applyAlignment="1">
      <alignment horizontal="center"/>
    </xf>
    <xf numFmtId="14" fontId="0" fillId="0" borderId="0" xfId="0" applyNumberFormat="1" applyAlignment="1">
      <alignment horizontal="left"/>
    </xf>
    <xf numFmtId="164" fontId="0" fillId="0" borderId="10" xfId="0" applyNumberFormat="1" applyBorder="1" applyAlignment="1">
      <alignment horizontal="left"/>
    </xf>
    <xf numFmtId="0" fontId="0" fillId="25" borderId="23" xfId="0" applyFill="1" applyBorder="1" applyAlignment="1">
      <alignment horizontal="left"/>
    </xf>
    <xf numFmtId="0" fontId="26" fillId="25" borderId="23" xfId="70" applyFill="1" applyBorder="1" applyAlignment="1" applyProtection="1"/>
    <xf numFmtId="0" fontId="0" fillId="25" borderId="23" xfId="0" applyFill="1" applyBorder="1"/>
  </cellXfs>
  <cellStyles count="89">
    <cellStyle name="20% - Accent1 2" xfId="1" xr:uid="{00000000-0005-0000-0000-000000000000}"/>
    <cellStyle name="20% - Accent1 3" xfId="2" xr:uid="{00000000-0005-0000-0000-000001000000}"/>
    <cellStyle name="20% - Accent2 2" xfId="3" xr:uid="{00000000-0005-0000-0000-000002000000}"/>
    <cellStyle name="20% - Accent2 3" xfId="4" xr:uid="{00000000-0005-0000-0000-000003000000}"/>
    <cellStyle name="20% - Accent3 2" xfId="5" xr:uid="{00000000-0005-0000-0000-000004000000}"/>
    <cellStyle name="20% - Accent3 3" xfId="6" xr:uid="{00000000-0005-0000-0000-000005000000}"/>
    <cellStyle name="20% - Accent4 2" xfId="7" xr:uid="{00000000-0005-0000-0000-000006000000}"/>
    <cellStyle name="20% - Accent4 3" xfId="8" xr:uid="{00000000-0005-0000-0000-000007000000}"/>
    <cellStyle name="20% - Accent5 2" xfId="9" xr:uid="{00000000-0005-0000-0000-000008000000}"/>
    <cellStyle name="20% - Accent5 3" xfId="10" xr:uid="{00000000-0005-0000-0000-000009000000}"/>
    <cellStyle name="20% - Accent6 2" xfId="11" xr:uid="{00000000-0005-0000-0000-00000A000000}"/>
    <cellStyle name="20% - Accent6 3" xfId="12" xr:uid="{00000000-0005-0000-0000-00000B000000}"/>
    <cellStyle name="40% - Accent1 2" xfId="13" xr:uid="{00000000-0005-0000-0000-00000C000000}"/>
    <cellStyle name="40% - Accent1 3" xfId="14" xr:uid="{00000000-0005-0000-0000-00000D000000}"/>
    <cellStyle name="40% - Accent2 2" xfId="15" xr:uid="{00000000-0005-0000-0000-00000E000000}"/>
    <cellStyle name="40% - Accent2 3" xfId="16" xr:uid="{00000000-0005-0000-0000-00000F000000}"/>
    <cellStyle name="40% - Accent3 2" xfId="17" xr:uid="{00000000-0005-0000-0000-000010000000}"/>
    <cellStyle name="40% - Accent3 3" xfId="18" xr:uid="{00000000-0005-0000-0000-000011000000}"/>
    <cellStyle name="40% - Accent4 2" xfId="19" xr:uid="{00000000-0005-0000-0000-000012000000}"/>
    <cellStyle name="40% - Accent4 3" xfId="20" xr:uid="{00000000-0005-0000-0000-000013000000}"/>
    <cellStyle name="40% - Accent5 2" xfId="21" xr:uid="{00000000-0005-0000-0000-000014000000}"/>
    <cellStyle name="40% - Accent5 3" xfId="22" xr:uid="{00000000-0005-0000-0000-000015000000}"/>
    <cellStyle name="40% - Accent6 2" xfId="23" xr:uid="{00000000-0005-0000-0000-000016000000}"/>
    <cellStyle name="40% - Accent6 3" xfId="24" xr:uid="{00000000-0005-0000-0000-000017000000}"/>
    <cellStyle name="60% - Accent1 2" xfId="25" xr:uid="{00000000-0005-0000-0000-000018000000}"/>
    <cellStyle name="60% - Accent1 3" xfId="26" xr:uid="{00000000-0005-0000-0000-000019000000}"/>
    <cellStyle name="60% - Accent2 2" xfId="27" xr:uid="{00000000-0005-0000-0000-00001A000000}"/>
    <cellStyle name="60% - Accent2 3" xfId="28" xr:uid="{00000000-0005-0000-0000-00001B000000}"/>
    <cellStyle name="60% - Accent3 2" xfId="29" xr:uid="{00000000-0005-0000-0000-00001C000000}"/>
    <cellStyle name="60% - Accent3 3" xfId="30" xr:uid="{00000000-0005-0000-0000-00001D000000}"/>
    <cellStyle name="60% - Accent4 2" xfId="31" xr:uid="{00000000-0005-0000-0000-00001E000000}"/>
    <cellStyle name="60% - Accent4 3" xfId="32" xr:uid="{00000000-0005-0000-0000-00001F000000}"/>
    <cellStyle name="60% - Accent5 2" xfId="33" xr:uid="{00000000-0005-0000-0000-000020000000}"/>
    <cellStyle name="60% - Accent5 3" xfId="34" xr:uid="{00000000-0005-0000-0000-000021000000}"/>
    <cellStyle name="60% - Accent6 2" xfId="35" xr:uid="{00000000-0005-0000-0000-000022000000}"/>
    <cellStyle name="60% - Accent6 3" xfId="36" xr:uid="{00000000-0005-0000-0000-000023000000}"/>
    <cellStyle name="Accent1 2" xfId="37" xr:uid="{00000000-0005-0000-0000-000024000000}"/>
    <cellStyle name="Accent1 3" xfId="38" xr:uid="{00000000-0005-0000-0000-000025000000}"/>
    <cellStyle name="Accent2 2" xfId="39" xr:uid="{00000000-0005-0000-0000-000026000000}"/>
    <cellStyle name="Accent2 3" xfId="40" xr:uid="{00000000-0005-0000-0000-000027000000}"/>
    <cellStyle name="Accent3 2" xfId="41" xr:uid="{00000000-0005-0000-0000-000028000000}"/>
    <cellStyle name="Accent3 3" xfId="42" xr:uid="{00000000-0005-0000-0000-000029000000}"/>
    <cellStyle name="Accent4 2" xfId="43" xr:uid="{00000000-0005-0000-0000-00002A000000}"/>
    <cellStyle name="Accent4 3" xfId="44" xr:uid="{00000000-0005-0000-0000-00002B000000}"/>
    <cellStyle name="Accent5 2" xfId="45" xr:uid="{00000000-0005-0000-0000-00002C000000}"/>
    <cellStyle name="Accent5 3" xfId="46" xr:uid="{00000000-0005-0000-0000-00002D000000}"/>
    <cellStyle name="Accent6 2" xfId="47" xr:uid="{00000000-0005-0000-0000-00002E000000}"/>
    <cellStyle name="Accent6 3" xfId="48" xr:uid="{00000000-0005-0000-0000-00002F000000}"/>
    <cellStyle name="Bad 2" xfId="49" xr:uid="{00000000-0005-0000-0000-000030000000}"/>
    <cellStyle name="Bad 3" xfId="50" xr:uid="{00000000-0005-0000-0000-000031000000}"/>
    <cellStyle name="Calculation 2" xfId="51" xr:uid="{00000000-0005-0000-0000-000032000000}"/>
    <cellStyle name="Calculation 3" xfId="52" xr:uid="{00000000-0005-0000-0000-000033000000}"/>
    <cellStyle name="Check Cell 2" xfId="53" xr:uid="{00000000-0005-0000-0000-000034000000}"/>
    <cellStyle name="Check Cell 3" xfId="54" xr:uid="{00000000-0005-0000-0000-000035000000}"/>
    <cellStyle name="Currency" xfId="55" builtinId="4"/>
    <cellStyle name="Currency 2" xfId="56" xr:uid="{00000000-0005-0000-0000-000037000000}"/>
    <cellStyle name="Currency 3" xfId="57" xr:uid="{00000000-0005-0000-0000-000038000000}"/>
    <cellStyle name="Explanatory Text 2" xfId="58" xr:uid="{00000000-0005-0000-0000-000039000000}"/>
    <cellStyle name="Explanatory Text 3" xfId="59" xr:uid="{00000000-0005-0000-0000-00003A000000}"/>
    <cellStyle name="Good 2" xfId="60" xr:uid="{00000000-0005-0000-0000-00003B000000}"/>
    <cellStyle name="Good 3" xfId="61" xr:uid="{00000000-0005-0000-0000-00003C000000}"/>
    <cellStyle name="Heading 1 2" xfId="62" xr:uid="{00000000-0005-0000-0000-00003D000000}"/>
    <cellStyle name="Heading 1 3" xfId="63" xr:uid="{00000000-0005-0000-0000-00003E000000}"/>
    <cellStyle name="Heading 2 2" xfId="64" xr:uid="{00000000-0005-0000-0000-00003F000000}"/>
    <cellStyle name="Heading 2 3" xfId="65" xr:uid="{00000000-0005-0000-0000-000040000000}"/>
    <cellStyle name="Heading 3 2" xfId="66" xr:uid="{00000000-0005-0000-0000-000041000000}"/>
    <cellStyle name="Heading 3 3" xfId="67" xr:uid="{00000000-0005-0000-0000-000042000000}"/>
    <cellStyle name="Heading 4 2" xfId="68" xr:uid="{00000000-0005-0000-0000-000043000000}"/>
    <cellStyle name="Heading 4 3" xfId="69" xr:uid="{00000000-0005-0000-0000-000044000000}"/>
    <cellStyle name="Hyperlink" xfId="70" builtinId="8"/>
    <cellStyle name="Input 2" xfId="71" xr:uid="{00000000-0005-0000-0000-000046000000}"/>
    <cellStyle name="Input 3" xfId="72" xr:uid="{00000000-0005-0000-0000-000047000000}"/>
    <cellStyle name="Linked Cell 2" xfId="73" xr:uid="{00000000-0005-0000-0000-000048000000}"/>
    <cellStyle name="Linked Cell 3" xfId="74" xr:uid="{00000000-0005-0000-0000-000049000000}"/>
    <cellStyle name="Neutral 2" xfId="75" xr:uid="{00000000-0005-0000-0000-00004A000000}"/>
    <cellStyle name="Neutral 3" xfId="76" xr:uid="{00000000-0005-0000-0000-00004B000000}"/>
    <cellStyle name="Normal" xfId="0" builtinId="0"/>
    <cellStyle name="Normal 2" xfId="77" xr:uid="{00000000-0005-0000-0000-00004D000000}"/>
    <cellStyle name="Normal_10 06 03" xfId="78" xr:uid="{00000000-0005-0000-0000-00004E000000}"/>
    <cellStyle name="Note 2" xfId="79" xr:uid="{00000000-0005-0000-0000-00004F000000}"/>
    <cellStyle name="Note 3" xfId="80" xr:uid="{00000000-0005-0000-0000-000050000000}"/>
    <cellStyle name="Output 2" xfId="81" xr:uid="{00000000-0005-0000-0000-000051000000}"/>
    <cellStyle name="Output 3" xfId="82" xr:uid="{00000000-0005-0000-0000-000052000000}"/>
    <cellStyle name="Title 2" xfId="83" xr:uid="{00000000-0005-0000-0000-000053000000}"/>
    <cellStyle name="Title 3" xfId="84" xr:uid="{00000000-0005-0000-0000-000054000000}"/>
    <cellStyle name="Total 2" xfId="85" xr:uid="{00000000-0005-0000-0000-000055000000}"/>
    <cellStyle name="Total 3" xfId="86" xr:uid="{00000000-0005-0000-0000-000056000000}"/>
    <cellStyle name="Warning Text 2" xfId="87" xr:uid="{00000000-0005-0000-0000-000057000000}"/>
    <cellStyle name="Warning Text 3" xfId="88" xr:uid="{00000000-0005-0000-0000-00005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e Hudson" refreshedDate="46085.683965046293" createdVersion="4" refreshedVersion="8" minRefreshableVersion="3" recordCount="95" xr:uid="{00000000-000A-0000-FFFF-FFFF26000000}">
  <cacheSource type="worksheet">
    <worksheetSource ref="A1:AC1048576" sheet="Run Sheet"/>
  </cacheSource>
  <cacheFields count="29">
    <cacheField name="Bill Code" numFmtId="0">
      <sharedItems containsBlank="1"/>
    </cacheField>
    <cacheField name="Air Date" numFmtId="0">
      <sharedItems containsNonDate="0" containsDate="1" containsString="0" containsBlank="1" minDate="2026-04-01T00:00:00" maxDate="2026-05-04T00:00:00"/>
    </cacheField>
    <cacheField name="End Date" numFmtId="0">
      <sharedItems containsNonDate="0" containsDate="1" containsString="0" containsBlank="1" minDate="2026-04-01T00:00:00" maxDate="2026-05-04T00:00:00"/>
    </cacheField>
    <cacheField name="Day" numFmtId="0">
      <sharedItems containsBlank="1"/>
    </cacheField>
    <cacheField name="Time In" numFmtId="0">
      <sharedItems containsNonDate="0" containsDate="1" containsString="0" containsBlank="1" minDate="1899-12-30T13:00:00" maxDate="1899-12-30T21:00:00"/>
    </cacheField>
    <cacheField name="Time out" numFmtId="0">
      <sharedItems containsNonDate="0" containsDate="1" containsString="0" containsBlank="1" minDate="1899-12-30T14:00:00" maxDate="1899-12-30T23:59:00"/>
    </cacheField>
    <cacheField name="Length" numFmtId="0">
      <sharedItems containsNonDate="0" containsDate="1" containsString="0" containsBlank="1" minDate="1899-12-30T00:00:30" maxDate="1899-12-30T00:00:30"/>
    </cacheField>
    <cacheField name="Media" numFmtId="0">
      <sharedItems containsBlank="1"/>
    </cacheField>
    <cacheField name="Program" numFmtId="0">
      <sharedItems containsBlank="1"/>
    </cacheField>
    <cacheField name="Lang." numFmtId="0">
      <sharedItems containsBlank="1"/>
    </cacheField>
    <cacheField name="Format" numFmtId="0">
      <sharedItems containsNonDate="0" containsString="0" containsBlank="1"/>
    </cacheField>
    <cacheField name="#" numFmtId="0">
      <sharedItems containsString="0" containsBlank="1" containsNumber="1" containsInteger="1" minValue="1" maxValue="1"/>
    </cacheField>
    <cacheField name="Line" numFmtId="0">
      <sharedItems containsString="0" containsBlank="1" containsNumber="1" containsInteger="1" minValue="72927" maxValue="72943"/>
    </cacheField>
    <cacheField name="Type" numFmtId="0">
      <sharedItems containsBlank="1"/>
    </cacheField>
    <cacheField name="Estimate" numFmtId="0">
      <sharedItems containsBlank="1"/>
    </cacheField>
    <cacheField name="Gross Rate" numFmtId="0">
      <sharedItems containsString="0" containsBlank="1" containsNumber="1" containsInteger="1" minValue="0" maxValue="65"/>
    </cacheField>
    <cacheField name="Make Good" numFmtId="0">
      <sharedItems containsNonDate="0" containsString="0" containsBlank="1"/>
    </cacheField>
    <cacheField name="Spot Value" numFmtId="0">
      <sharedItems containsString="0" containsBlank="1" containsNumber="1" containsInteger="1" minValue="0" maxValue="65"/>
    </cacheField>
    <cacheField name="Month" numFmtId="0">
      <sharedItems containsNonDate="0" containsDate="1" containsString="0" containsBlank="1" minDate="2016-04-01T00:00:00" maxDate="2026-05-02T00:00:00" count="61">
        <d v="2026-04-01T00:00:00"/>
        <d v="2026-05-01T00:00:00"/>
        <m/>
        <d v="2026-03-01T00:00:00" u="1"/>
        <d v="2026-02-01T00:00:00" u="1"/>
        <d v="2026-01-01T00:00:00" u="1"/>
        <d v="2025-11-01T00:00:00" u="1"/>
        <d v="2025-12-01T00:00:00" u="1"/>
        <d v="2025-10-01T00:00:00" u="1"/>
        <d v="2025-09-01T00:00:00" u="1"/>
        <d v="2025-08-01T00:00:00" u="1"/>
        <d v="2025-06-01T00:00:00" u="1"/>
        <d v="2025-07-01T00:00:00" u="1"/>
        <d v="2025-04-01T00:00:00" u="1"/>
        <d v="2025-05-01T00:00:00" u="1"/>
        <d v="2025-03-15T00:00:00" u="1"/>
        <d v="2025-02-01T00:00:00" u="1"/>
        <d v="2025-03-01T00:00:00" u="1"/>
        <d v="2025-01-01T00:00:00" u="1"/>
        <d v="2024-12-01T00:00:00" u="1"/>
        <d v="2024-09-01T00:00:00" u="1"/>
        <d v="2024-08-01T00:00:00" u="1"/>
        <d v="2024-07-01T00:00:00" u="1"/>
        <d v="2024-05-01T00:00:00" u="1"/>
        <d v="2024-06-01T00:00:00" u="1"/>
        <d v="2024-04-01T00:00:00" u="1"/>
        <d v="2024-03-01T00:00:00" u="1"/>
        <d v="2024-02-01T00:00:00" u="1"/>
        <d v="2024-01-01T00:00:00" u="1"/>
        <d v="2023-12-01T00:00:00" u="1"/>
        <d v="2021-09-01T00:00:00" u="1"/>
        <d v="2022-09-01T00:00:00" u="1"/>
        <d v="2022-08-01T00:00:00" u="1"/>
        <d v="2016-07-01T00:00:00" u="1"/>
        <d v="2021-07-01T00:00:00" u="1"/>
        <d v="2022-07-01T00:00:00" u="1"/>
        <d v="2017-06-01T00:00:00" u="1"/>
        <d v="2021-06-01T00:00:00" u="1"/>
        <d v="2022-06-01T00:00:00" u="1"/>
        <d v="2016-05-01T00:00:00" u="1"/>
        <d v="2017-05-01T00:00:00" u="1"/>
        <d v="2021-05-01T00:00:00" u="1"/>
        <d v="2022-05-01T00:00:00" u="1"/>
        <d v="2016-04-01T00:00:00" u="1"/>
        <d v="2023-05-01T00:00:00" u="1"/>
        <d v="2023-04-01T00:00:00" u="1"/>
        <d v="2019-03-01T00:00:00" u="1"/>
        <d v="2023-03-01T00:00:00" u="1"/>
        <d v="2016-12-01T00:00:00" u="1"/>
        <d v="2019-02-01T00:00:00" u="1"/>
        <d v="2020-02-01T00:00:00" u="1"/>
        <d v="2021-02-01T00:00:00" u="1"/>
        <d v="2021-12-01T00:00:00" u="1"/>
        <d v="2022-02-01T00:00:00" u="1"/>
        <d v="2017-01-01T00:00:00" u="1"/>
        <d v="2021-11-01T00:00:00" u="1"/>
        <d v="2022-01-01T00:00:00" u="1"/>
        <d v="2016-10-01T00:00:00" u="1"/>
        <d v="2017-10-01T00:00:00" u="1"/>
        <d v="2016-09-01T00:00:00" u="1"/>
        <d v="2017-09-01T00:00:00" u="1"/>
      </sharedItems>
    </cacheField>
    <cacheField name="Broker Fees" numFmtId="0">
      <sharedItems containsString="0" containsBlank="1" containsNumber="1" minValue="0" maxValue="9.75"/>
    </cacheField>
    <cacheField name="Priority" numFmtId="1">
      <sharedItems containsString="0" containsBlank="1" containsNumber="1" containsInteger="1" minValue="4" maxValue="4"/>
    </cacheField>
    <cacheField name="Station Net" numFmtId="0">
      <sharedItems containsString="0" containsBlank="1" containsNumber="1" minValue="0" maxValue="55.25"/>
    </cacheField>
    <cacheField name="Sales Person" numFmtId="0">
      <sharedItems containsBlank="1"/>
    </cacheField>
    <cacheField name="Revenue Type" numFmtId="0">
      <sharedItems containsBlank="1"/>
    </cacheField>
    <cacheField name="Billing Type" numFmtId="0">
      <sharedItems containsBlank="1"/>
    </cacheField>
    <cacheField name="Agency?" numFmtId="0">
      <sharedItems containsBlank="1"/>
    </cacheField>
    <cacheField name="Affidavit?" numFmtId="0">
      <sharedItems containsBlank="1"/>
    </cacheField>
    <cacheField name="Contract" numFmtId="0">
      <sharedItems containsBlank="1"/>
    </cacheField>
    <cacheField name="Marke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s v="H&amp;L Partners:Northern California Toyota Dealer's Assocation"/>
    <d v="2026-04-20T00:00:00"/>
    <d v="2026-04-20T00:00:00"/>
    <s v="Monday"/>
    <d v="1899-12-30T13:00:00"/>
    <d v="1899-12-30T14:00:00"/>
    <d v="1899-12-30T00:00:30"/>
    <s v="NEED COPY"/>
    <s v="13:09:00"/>
    <s v="SA"/>
    <m/>
    <n v="1"/>
    <n v="72927"/>
    <s v="COM"/>
    <s v="13931-CV"/>
    <n v="50"/>
    <m/>
    <n v="50"/>
    <x v="0"/>
    <n v="7.5"/>
    <n v="4"/>
    <n v="42.5"/>
    <s v="Charmaine Lane"/>
    <s v="Internal Ad Sales"/>
    <s v="Broadcast"/>
    <s v="Agency"/>
    <s v="Y"/>
    <s v="2569"/>
    <s v="CVC"/>
  </r>
  <r>
    <s v="H&amp;L Partners:Northern California Toyota Dealer's Assocation"/>
    <d v="2026-04-21T00:00:00"/>
    <d v="2026-04-21T00:00:00"/>
    <s v="Tuesday"/>
    <d v="1899-12-30T13:00:00"/>
    <d v="1899-12-30T14:00:00"/>
    <d v="1899-12-30T00:00:30"/>
    <s v="NEED COPY"/>
    <s v="13:09:00"/>
    <s v="SA"/>
    <m/>
    <n v="1"/>
    <n v="72927"/>
    <s v="COM"/>
    <s v="13931-CV"/>
    <n v="50"/>
    <m/>
    <n v="50"/>
    <x v="0"/>
    <n v="7.5"/>
    <n v="4"/>
    <n v="42.5"/>
    <s v="Charmaine Lane"/>
    <s v="Internal Ad Sales"/>
    <s v="Broadcast"/>
    <s v="Agency"/>
    <s v="Y"/>
    <s v="2569"/>
    <s v="CVC"/>
  </r>
  <r>
    <s v="H&amp;L Partners:Northern California Toyota Dealer's Assocation"/>
    <d v="2026-04-13T00:00:00"/>
    <d v="2026-04-13T00:00:00"/>
    <s v="Monday"/>
    <d v="1899-12-30T13:00:00"/>
    <d v="1899-12-30T14:00:00"/>
    <d v="1899-12-30T00:00:30"/>
    <s v="NEED COPY"/>
    <s v="13:19:00"/>
    <s v="SA"/>
    <m/>
    <n v="1"/>
    <n v="72927"/>
    <s v="COM"/>
    <s v="13931-CV"/>
    <n v="50"/>
    <m/>
    <n v="50"/>
    <x v="0"/>
    <n v="7.5"/>
    <n v="4"/>
    <n v="42.5"/>
    <s v="Charmaine Lane"/>
    <s v="Internal Ad Sales"/>
    <s v="Broadcast"/>
    <s v="Agency"/>
    <s v="Y"/>
    <s v="2569"/>
    <s v="CVC"/>
  </r>
  <r>
    <s v="H&amp;L Partners:Northern California Toyota Dealer's Assocation"/>
    <d v="2026-05-01T00:00:00"/>
    <d v="2026-05-01T00:00:00"/>
    <s v="Friday"/>
    <d v="1899-12-30T13:00:00"/>
    <d v="1899-12-30T14:00:00"/>
    <d v="1899-12-30T00:00:30"/>
    <s v="NEED COPY"/>
    <s v="13:19:00"/>
    <s v="SA"/>
    <m/>
    <n v="1"/>
    <n v="72927"/>
    <s v="COM"/>
    <s v="13931-CV"/>
    <n v="50"/>
    <m/>
    <n v="50"/>
    <x v="1"/>
    <n v="7.5"/>
    <n v="4"/>
    <n v="42.5"/>
    <s v="Charmaine Lane"/>
    <s v="Internal Ad Sales"/>
    <s v="Broadcast"/>
    <s v="Agency"/>
    <s v="Y"/>
    <s v="2569"/>
    <s v="CVC"/>
  </r>
  <r>
    <s v="H&amp;L Partners:Northern California Toyota Dealer's Assocation"/>
    <d v="2026-04-06T00:00:00"/>
    <d v="2026-04-06T00:00:00"/>
    <s v="Monday"/>
    <d v="1899-12-30T13:00:00"/>
    <d v="1899-12-30T14:00:00"/>
    <d v="1899-12-30T00:00:30"/>
    <s v="NEED COPY"/>
    <s v="13:29:00"/>
    <s v="SA"/>
    <m/>
    <n v="1"/>
    <n v="72927"/>
    <s v="COM"/>
    <s v="13931-CV"/>
    <n v="50"/>
    <m/>
    <n v="50"/>
    <x v="0"/>
    <n v="7.5"/>
    <n v="4"/>
    <n v="42.5"/>
    <s v="Charmaine Lane"/>
    <s v="Internal Ad Sales"/>
    <s v="Broadcast"/>
    <s v="Agency"/>
    <s v="Y"/>
    <s v="2569"/>
    <s v="CVC"/>
  </r>
  <r>
    <s v="H&amp;L Partners:Northern California Toyota Dealer's Assocation"/>
    <d v="2026-04-07T00:00:00"/>
    <d v="2026-04-07T00:00:00"/>
    <s v="Tuesday"/>
    <d v="1899-12-30T13:00:00"/>
    <d v="1899-12-30T14:00:00"/>
    <d v="1899-12-30T00:00:30"/>
    <s v="NEED COPY"/>
    <s v="13:29:00"/>
    <s v="SA"/>
    <m/>
    <n v="1"/>
    <n v="72927"/>
    <s v="COM"/>
    <s v="13931-CV"/>
    <n v="50"/>
    <m/>
    <n v="50"/>
    <x v="0"/>
    <n v="7.5"/>
    <n v="4"/>
    <n v="42.5"/>
    <s v="Charmaine Lane"/>
    <s v="Internal Ad Sales"/>
    <s v="Broadcast"/>
    <s v="Agency"/>
    <s v="Y"/>
    <s v="2569"/>
    <s v="CVC"/>
  </r>
  <r>
    <s v="H&amp;L Partners:Northern California Toyota Dealer's Assocation"/>
    <d v="2026-04-17T00:00:00"/>
    <d v="2026-04-17T00:00:00"/>
    <s v="Friday"/>
    <d v="1899-12-30T13:00:00"/>
    <d v="1899-12-30T14:00:00"/>
    <d v="1899-12-30T00:00:30"/>
    <s v="NEED COPY"/>
    <s v="13:38:30"/>
    <s v="SA"/>
    <m/>
    <n v="1"/>
    <n v="72927"/>
    <s v="COM"/>
    <s v="13931-CV"/>
    <n v="50"/>
    <m/>
    <n v="50"/>
    <x v="0"/>
    <n v="7.5"/>
    <n v="4"/>
    <n v="42.5"/>
    <s v="Charmaine Lane"/>
    <s v="Internal Ad Sales"/>
    <s v="Broadcast"/>
    <s v="Agency"/>
    <s v="Y"/>
    <s v="2569"/>
    <s v="CVC"/>
  </r>
  <r>
    <s v="H&amp;L Partners:Northern California Toyota Dealer's Assocation"/>
    <d v="2026-04-22T00:00:00"/>
    <d v="2026-04-22T00:00:00"/>
    <s v="Wednesday"/>
    <d v="1899-12-30T13:00:00"/>
    <d v="1899-12-30T14:00:00"/>
    <d v="1899-12-30T00:00:30"/>
    <s v="NEED COPY"/>
    <s v="13:38:30"/>
    <s v="SA"/>
    <m/>
    <n v="1"/>
    <n v="72927"/>
    <s v="COM"/>
    <s v="13931-CV"/>
    <n v="50"/>
    <m/>
    <n v="50"/>
    <x v="0"/>
    <n v="7.5"/>
    <n v="4"/>
    <n v="42.5"/>
    <s v="Charmaine Lane"/>
    <s v="Internal Ad Sales"/>
    <s v="Broadcast"/>
    <s v="Agency"/>
    <s v="Y"/>
    <s v="2569"/>
    <s v="CVC"/>
  </r>
  <r>
    <s v="H&amp;L Partners:Northern California Toyota Dealer's Assocation"/>
    <d v="2026-04-27T00:00:00"/>
    <d v="2026-04-27T00:00:00"/>
    <s v="Monday"/>
    <d v="1899-12-30T13:00:00"/>
    <d v="1899-12-30T14:00:00"/>
    <d v="1899-12-30T00:00:30"/>
    <s v="NEED COPY"/>
    <s v="13:48:30"/>
    <s v="SA"/>
    <m/>
    <n v="1"/>
    <n v="72927"/>
    <s v="COM"/>
    <s v="13931-CV"/>
    <n v="50"/>
    <m/>
    <n v="50"/>
    <x v="1"/>
    <n v="7.5"/>
    <n v="4"/>
    <n v="42.5"/>
    <s v="Charmaine Lane"/>
    <s v="Internal Ad Sales"/>
    <s v="Broadcast"/>
    <s v="Agency"/>
    <s v="Y"/>
    <s v="2569"/>
    <s v="CVC"/>
  </r>
  <r>
    <s v="H&amp;L Partners:Northern California Toyota Dealer's Assocation"/>
    <d v="2026-04-30T00:00:00"/>
    <d v="2026-04-30T00:00:00"/>
    <s v="Thursday"/>
    <d v="1899-12-30T13:00:00"/>
    <d v="1899-12-30T14:00:00"/>
    <d v="1899-12-30T00:00:30"/>
    <s v="NEED COPY"/>
    <s v="13:48:30"/>
    <s v="SA"/>
    <m/>
    <n v="1"/>
    <n v="72927"/>
    <s v="COM"/>
    <s v="13931-CV"/>
    <n v="50"/>
    <m/>
    <n v="50"/>
    <x v="1"/>
    <n v="7.5"/>
    <n v="4"/>
    <n v="42.5"/>
    <s v="Charmaine Lane"/>
    <s v="Internal Ad Sales"/>
    <s v="Broadcast"/>
    <s v="Agency"/>
    <s v="Y"/>
    <s v="2569"/>
    <s v="CVC"/>
  </r>
  <r>
    <s v="H&amp;L Partners:Northern California Toyota Dealer's Assocation"/>
    <d v="2026-04-08T00:00:00"/>
    <d v="2026-04-08T00:00:00"/>
    <s v="Wednesday"/>
    <d v="1899-12-30T13:00:00"/>
    <d v="1899-12-30T14:00:00"/>
    <d v="1899-12-30T00:00:30"/>
    <s v="NEED COPY"/>
    <s v="13:58:30"/>
    <s v="SA"/>
    <m/>
    <n v="1"/>
    <n v="72927"/>
    <s v="COM"/>
    <s v="13931-CV"/>
    <n v="50"/>
    <m/>
    <n v="50"/>
    <x v="0"/>
    <n v="7.5"/>
    <n v="4"/>
    <n v="42.5"/>
    <s v="Charmaine Lane"/>
    <s v="Internal Ad Sales"/>
    <s v="Broadcast"/>
    <s v="Agency"/>
    <s v="Y"/>
    <s v="2569"/>
    <s v="CVC"/>
  </r>
  <r>
    <s v="H&amp;L Partners:Northern California Toyota Dealer's Assocation"/>
    <d v="2026-04-16T00:00:00"/>
    <d v="2026-04-16T00:00:00"/>
    <s v="Thursday"/>
    <d v="1899-12-30T13:00:00"/>
    <d v="1899-12-30T14:00:00"/>
    <d v="1899-12-30T00:00:30"/>
    <s v="NEED COPY"/>
    <s v="13:58:30"/>
    <s v="SA"/>
    <m/>
    <n v="1"/>
    <n v="72927"/>
    <s v="COM"/>
    <s v="13931-CV"/>
    <n v="50"/>
    <m/>
    <n v="50"/>
    <x v="0"/>
    <n v="7.5"/>
    <n v="4"/>
    <n v="42.5"/>
    <s v="Charmaine Lane"/>
    <s v="Internal Ad Sales"/>
    <s v="Broadcast"/>
    <s v="Agency"/>
    <s v="Y"/>
    <s v="2569"/>
    <s v="CVC"/>
  </r>
  <r>
    <s v="H&amp;L Partners:Northern California Toyota Dealer's Assocation"/>
    <d v="2026-04-08T00:00:00"/>
    <d v="2026-04-08T00:00:00"/>
    <s v="Wednesday"/>
    <d v="1899-12-30T18:30:00"/>
    <d v="1899-12-30T19:00:00"/>
    <d v="1899-12-30T00:00:30"/>
    <s v="NEED COPY"/>
    <s v="18:38:00"/>
    <s v="T"/>
    <m/>
    <n v="1"/>
    <n v="72928"/>
    <s v="COM"/>
    <s v="13931-CV"/>
    <n v="65"/>
    <m/>
    <n v="65"/>
    <x v="0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10T00:00:00"/>
    <d v="2026-04-10T00:00:00"/>
    <s v="Friday"/>
    <d v="1899-12-30T18:30:00"/>
    <d v="1899-12-30T19:00:00"/>
    <d v="1899-12-30T00:00:30"/>
    <s v="NEED COPY"/>
    <s v="18:38:00"/>
    <s v="T"/>
    <m/>
    <n v="1"/>
    <n v="72928"/>
    <s v="COM"/>
    <s v="13931-CV"/>
    <n v="65"/>
    <m/>
    <n v="65"/>
    <x v="0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24T00:00:00"/>
    <d v="2026-04-24T00:00:00"/>
    <s v="Friday"/>
    <d v="1899-12-30T18:30:00"/>
    <d v="1899-12-30T19:00:00"/>
    <d v="1899-12-30T00:00:30"/>
    <s v="NEED COPY"/>
    <s v="18:38:00"/>
    <s v="T"/>
    <m/>
    <n v="1"/>
    <n v="72928"/>
    <s v="COM"/>
    <s v="13931-CV"/>
    <n v="65"/>
    <m/>
    <n v="65"/>
    <x v="0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09T00:00:00"/>
    <d v="2026-04-09T00:00:00"/>
    <s v="Thursday"/>
    <d v="1899-12-30T18:30:00"/>
    <d v="1899-12-30T19:00:00"/>
    <d v="1899-12-30T00:00:30"/>
    <s v="NEED COPY"/>
    <s v="18:49:00"/>
    <s v="T"/>
    <m/>
    <n v="1"/>
    <n v="72928"/>
    <s v="COM"/>
    <s v="13931-CV"/>
    <n v="65"/>
    <m/>
    <n v="65"/>
    <x v="0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13T00:00:00"/>
    <d v="2026-04-13T00:00:00"/>
    <s v="Monday"/>
    <d v="1899-12-30T18:30:00"/>
    <d v="1899-12-30T19:00:00"/>
    <d v="1899-12-30T00:00:30"/>
    <s v="NEED COPY"/>
    <s v="18:49:00"/>
    <s v="T"/>
    <m/>
    <n v="1"/>
    <n v="72928"/>
    <s v="COM"/>
    <s v="13931-CV"/>
    <n v="65"/>
    <m/>
    <n v="65"/>
    <x v="0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15T00:00:00"/>
    <d v="2026-04-15T00:00:00"/>
    <s v="Wednesday"/>
    <d v="1899-12-30T18:30:00"/>
    <d v="1899-12-30T19:00:00"/>
    <d v="1899-12-30T00:00:30"/>
    <s v="NEED COPY"/>
    <s v="18:49:00"/>
    <s v="T"/>
    <m/>
    <n v="1"/>
    <n v="72928"/>
    <s v="COM"/>
    <s v="13931-CV"/>
    <n v="65"/>
    <m/>
    <n v="65"/>
    <x v="0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17T00:00:00"/>
    <d v="2026-04-17T00:00:00"/>
    <s v="Friday"/>
    <d v="1899-12-30T18:30:00"/>
    <d v="1899-12-30T19:00:00"/>
    <d v="1899-12-30T00:00:30"/>
    <s v="NEED COPY"/>
    <s v="18:59:00"/>
    <s v="T"/>
    <m/>
    <n v="1"/>
    <n v="72928"/>
    <s v="COM"/>
    <s v="13931-CV"/>
    <n v="65"/>
    <m/>
    <n v="65"/>
    <x v="0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21T00:00:00"/>
    <d v="2026-04-21T00:00:00"/>
    <s v="Tuesday"/>
    <d v="1899-12-30T18:30:00"/>
    <d v="1899-12-30T19:00:00"/>
    <d v="1899-12-30T00:00:30"/>
    <s v="NEED COPY"/>
    <s v="18:59:00"/>
    <s v="T"/>
    <m/>
    <n v="1"/>
    <n v="72928"/>
    <s v="COM"/>
    <s v="13931-CV"/>
    <n v="65"/>
    <m/>
    <n v="65"/>
    <x v="0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22T00:00:00"/>
    <d v="2026-04-22T00:00:00"/>
    <s v="Wednesday"/>
    <d v="1899-12-30T18:30:00"/>
    <d v="1899-12-30T19:00:00"/>
    <d v="1899-12-30T00:00:30"/>
    <s v="NEED COPY"/>
    <s v="18:59:00"/>
    <s v="T"/>
    <m/>
    <n v="1"/>
    <n v="72928"/>
    <s v="COM"/>
    <s v="13931-CV"/>
    <n v="65"/>
    <m/>
    <n v="65"/>
    <x v="0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28T00:00:00"/>
    <d v="2026-04-28T00:00:00"/>
    <s v="Tuesday"/>
    <d v="1899-12-30T18:30:00"/>
    <d v="1899-12-30T19:00:00"/>
    <d v="1899-12-30T00:00:30"/>
    <s v="NEED COPY"/>
    <s v="18:38:00"/>
    <s v="T"/>
    <m/>
    <n v="1"/>
    <n v="72929"/>
    <s v="COM"/>
    <s v="13931-CV"/>
    <n v="65"/>
    <m/>
    <n v="65"/>
    <x v="1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30T00:00:00"/>
    <d v="2026-04-30T00:00:00"/>
    <s v="Thursday"/>
    <d v="1899-12-30T18:30:00"/>
    <d v="1899-12-30T19:00:00"/>
    <d v="1899-12-30T00:00:30"/>
    <s v="NEED COPY"/>
    <s v="18:38:00"/>
    <s v="T"/>
    <m/>
    <n v="1"/>
    <n v="72929"/>
    <s v="COM"/>
    <s v="13931-CV"/>
    <n v="65"/>
    <m/>
    <n v="65"/>
    <x v="1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29T00:00:00"/>
    <d v="2026-04-29T00:00:00"/>
    <s v="Wednesday"/>
    <d v="1899-12-30T18:30:00"/>
    <d v="1899-12-30T19:00:00"/>
    <d v="1899-12-30T00:00:30"/>
    <s v="NEED COPY"/>
    <s v="18:49:00"/>
    <s v="T"/>
    <m/>
    <n v="1"/>
    <n v="72929"/>
    <s v="COM"/>
    <s v="13931-CV"/>
    <n v="65"/>
    <m/>
    <n v="65"/>
    <x v="1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5-01T00:00:00"/>
    <d v="2026-05-01T00:00:00"/>
    <s v="Friday"/>
    <d v="1899-12-30T18:30:00"/>
    <d v="1899-12-30T19:00:00"/>
    <d v="1899-12-30T00:00:30"/>
    <s v="NEED COPY"/>
    <s v="18:59:00"/>
    <s v="T"/>
    <m/>
    <n v="1"/>
    <n v="72929"/>
    <s v="COM"/>
    <s v="13931-CV"/>
    <n v="65"/>
    <m/>
    <n v="65"/>
    <x v="1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08T00:00:00"/>
    <d v="2026-04-08T00:00:00"/>
    <s v="Wednesday"/>
    <d v="1899-12-30T19:00:00"/>
    <d v="1899-12-30T20:00:00"/>
    <d v="1899-12-30T00:00:30"/>
    <s v="NEED COPY"/>
    <s v="19:14:00"/>
    <s v="C"/>
    <m/>
    <n v="1"/>
    <n v="72930"/>
    <s v="COM"/>
    <s v="13931-CV"/>
    <n v="65"/>
    <m/>
    <n v="65"/>
    <x v="0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17T00:00:00"/>
    <d v="2026-04-17T00:00:00"/>
    <s v="Friday"/>
    <d v="1899-12-30T19:00:00"/>
    <d v="1899-12-30T20:00:00"/>
    <d v="1899-12-30T00:00:30"/>
    <s v="NEED COPY"/>
    <s v="19:25:30"/>
    <s v="C"/>
    <m/>
    <n v="1"/>
    <n v="72930"/>
    <s v="COM"/>
    <s v="13931-CV"/>
    <n v="65"/>
    <m/>
    <n v="65"/>
    <x v="0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07T00:00:00"/>
    <d v="2026-04-07T00:00:00"/>
    <s v="Tuesday"/>
    <d v="1899-12-30T19:00:00"/>
    <d v="1899-12-30T20:00:00"/>
    <d v="1899-12-30T00:00:30"/>
    <s v="NEED COPY"/>
    <s v="19:29:00"/>
    <s v="C"/>
    <m/>
    <n v="1"/>
    <n v="72930"/>
    <s v="COM"/>
    <s v="13931-CV"/>
    <n v="65"/>
    <m/>
    <n v="65"/>
    <x v="0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14T00:00:00"/>
    <d v="2026-04-14T00:00:00"/>
    <s v="Tuesday"/>
    <d v="1899-12-30T19:00:00"/>
    <d v="1899-12-30T20:00:00"/>
    <d v="1899-12-30T00:00:30"/>
    <s v="NEED COPY"/>
    <s v="19:29:00"/>
    <s v="C"/>
    <m/>
    <n v="1"/>
    <n v="72930"/>
    <s v="COM"/>
    <s v="13931-CV"/>
    <n v="65"/>
    <m/>
    <n v="65"/>
    <x v="0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24T00:00:00"/>
    <d v="2026-04-24T00:00:00"/>
    <s v="Friday"/>
    <d v="1899-12-30T19:00:00"/>
    <d v="1899-12-30T20:00:00"/>
    <d v="1899-12-30T00:00:30"/>
    <s v="NEED COPY"/>
    <s v="19:50:00"/>
    <s v="C"/>
    <m/>
    <n v="1"/>
    <n v="72930"/>
    <s v="COM"/>
    <s v="13931-CV"/>
    <n v="65"/>
    <m/>
    <n v="65"/>
    <x v="0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13T00:00:00"/>
    <d v="2026-04-13T00:00:00"/>
    <s v="Monday"/>
    <d v="1899-12-30T19:00:00"/>
    <d v="1899-12-30T20:00:00"/>
    <d v="1899-12-30T00:00:30"/>
    <s v="NEED COPY"/>
    <s v="19:55:15"/>
    <s v="C"/>
    <m/>
    <n v="1"/>
    <n v="72930"/>
    <s v="COM"/>
    <s v="13931-CV"/>
    <n v="65"/>
    <m/>
    <n v="65"/>
    <x v="0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09T00:00:00"/>
    <d v="2026-04-09T00:00:00"/>
    <s v="Thursday"/>
    <d v="1899-12-30T19:00:00"/>
    <d v="1899-12-30T20:00:00"/>
    <d v="1899-12-30T00:00:30"/>
    <s v="NEED COPY"/>
    <s v="19:58:00"/>
    <s v="C"/>
    <m/>
    <n v="1"/>
    <n v="72930"/>
    <s v="COM"/>
    <s v="13931-CV"/>
    <n v="65"/>
    <m/>
    <n v="65"/>
    <x v="0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23T00:00:00"/>
    <d v="2026-04-23T00:00:00"/>
    <s v="Thursday"/>
    <d v="1899-12-30T19:00:00"/>
    <d v="1899-12-30T20:00:00"/>
    <d v="1899-12-30T00:00:30"/>
    <s v="NEED COPY"/>
    <s v="19:58:00"/>
    <s v="C"/>
    <m/>
    <n v="1"/>
    <n v="72930"/>
    <s v="COM"/>
    <s v="13931-CV"/>
    <n v="65"/>
    <m/>
    <n v="65"/>
    <x v="0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20T00:00:00"/>
    <d v="2026-04-20T00:00:00"/>
    <s v="Monday"/>
    <d v="1899-12-30T19:00:00"/>
    <d v="1899-12-30T20:00:00"/>
    <d v="1899-12-30T00:00:30"/>
    <s v="NEED COPY"/>
    <s v="19:59:00"/>
    <s v="C"/>
    <m/>
    <n v="1"/>
    <n v="72930"/>
    <s v="COM"/>
    <s v="13931-CV"/>
    <n v="65"/>
    <m/>
    <n v="65"/>
    <x v="0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28T00:00:00"/>
    <d v="2026-04-28T00:00:00"/>
    <s v="Tuesday"/>
    <d v="1899-12-30T19:00:00"/>
    <d v="1899-12-30T20:00:00"/>
    <d v="1899-12-30T00:00:30"/>
    <s v="NEED COPY"/>
    <s v="19:29:00"/>
    <s v="C"/>
    <m/>
    <n v="1"/>
    <n v="72931"/>
    <s v="COM"/>
    <s v="13931-CV"/>
    <n v="65"/>
    <m/>
    <n v="65"/>
    <x v="1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5-01T00:00:00"/>
    <d v="2026-05-01T00:00:00"/>
    <s v="Friday"/>
    <d v="1899-12-30T19:00:00"/>
    <d v="1899-12-30T20:00:00"/>
    <d v="1899-12-30T00:00:30"/>
    <s v="NEED COPY"/>
    <s v="19:42:00"/>
    <s v="C"/>
    <m/>
    <n v="1"/>
    <n v="72931"/>
    <s v="COM"/>
    <s v="13931-CV"/>
    <n v="65"/>
    <m/>
    <n v="65"/>
    <x v="1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29T00:00:00"/>
    <d v="2026-04-29T00:00:00"/>
    <s v="Wednesday"/>
    <d v="1899-12-30T19:00:00"/>
    <d v="1899-12-30T20:00:00"/>
    <d v="1899-12-30T00:00:30"/>
    <s v="NEED COPY"/>
    <s v="19:44:00"/>
    <s v="C"/>
    <m/>
    <n v="1"/>
    <n v="72931"/>
    <s v="COM"/>
    <s v="13931-CV"/>
    <n v="65"/>
    <m/>
    <n v="65"/>
    <x v="1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27T00:00:00"/>
    <d v="2026-04-27T00:00:00"/>
    <s v="Monday"/>
    <d v="1899-12-30T19:00:00"/>
    <d v="1899-12-30T20:00:00"/>
    <d v="1899-12-30T00:00:30"/>
    <s v="NEED COPY"/>
    <s v="19:55:15"/>
    <s v="C"/>
    <m/>
    <n v="1"/>
    <n v="72931"/>
    <s v="COM"/>
    <s v="13931-CV"/>
    <n v="65"/>
    <m/>
    <n v="65"/>
    <x v="1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27T00:00:00"/>
    <d v="2026-04-27T00:00:00"/>
    <s v="Monday"/>
    <d v="1899-12-30T19:00:00"/>
    <d v="1899-12-30T23:59:00"/>
    <d v="1899-12-30T00:00:30"/>
    <s v="NEED COPY"/>
    <s v="19:25:30"/>
    <s v="M/C"/>
    <m/>
    <n v="1"/>
    <n v="72932"/>
    <s v="BNS"/>
    <s v="13931-CV"/>
    <n v="0"/>
    <m/>
    <n v="0"/>
    <x v="1"/>
    <n v="0"/>
    <n v="4"/>
    <n v="0"/>
    <s v="Charmaine Lane"/>
    <s v="Internal Ad Sales"/>
    <s v="Broadcast"/>
    <s v="Agency"/>
    <s v="Y"/>
    <s v="2569"/>
    <s v="CVC"/>
  </r>
  <r>
    <s v="H&amp;L Partners:Northern California Toyota Dealer's Assocation"/>
    <d v="2026-04-30T00:00:00"/>
    <d v="2026-04-30T00:00:00"/>
    <s v="Thursday"/>
    <d v="1899-12-30T19:00:00"/>
    <d v="1899-12-30T23:59:00"/>
    <d v="1899-12-30T00:00:30"/>
    <s v="NEED COPY"/>
    <s v="19:50:00"/>
    <s v="M/C"/>
    <m/>
    <n v="1"/>
    <n v="72932"/>
    <s v="BNS"/>
    <s v="13931-CV"/>
    <n v="0"/>
    <m/>
    <n v="0"/>
    <x v="1"/>
    <n v="0"/>
    <n v="4"/>
    <n v="0"/>
    <s v="Charmaine Lane"/>
    <s v="Internal Ad Sales"/>
    <s v="Broadcast"/>
    <s v="Agency"/>
    <s v="Y"/>
    <s v="2569"/>
    <s v="CVC"/>
  </r>
  <r>
    <s v="H&amp;L Partners:Northern California Toyota Dealer's Assocation"/>
    <d v="2026-04-16T00:00:00"/>
    <d v="2026-04-16T00:00:00"/>
    <s v="Thursday"/>
    <d v="1899-12-30T19:00:00"/>
    <d v="1899-12-30T23:59:00"/>
    <d v="1899-12-30T00:00:30"/>
    <s v="NEED COPY"/>
    <s v="20:20:00"/>
    <s v="M/C"/>
    <m/>
    <n v="1"/>
    <n v="72932"/>
    <s v="BNS"/>
    <s v="13931-CV"/>
    <n v="0"/>
    <m/>
    <n v="0"/>
    <x v="0"/>
    <n v="0"/>
    <n v="4"/>
    <n v="0"/>
    <s v="Charmaine Lane"/>
    <s v="Internal Ad Sales"/>
    <s v="Broadcast"/>
    <s v="Agency"/>
    <s v="Y"/>
    <s v="2569"/>
    <s v="CVC"/>
  </r>
  <r>
    <s v="H&amp;L Partners:Northern California Toyota Dealer's Assocation"/>
    <d v="2026-04-18T00:00:00"/>
    <d v="2026-04-18T00:00:00"/>
    <s v="Saturday"/>
    <d v="1899-12-30T19:00:00"/>
    <d v="1899-12-30T23:59:00"/>
    <d v="1899-12-30T00:00:30"/>
    <s v="NEED COPY"/>
    <s v="20:48:30"/>
    <s v="M/C"/>
    <m/>
    <n v="1"/>
    <n v="72932"/>
    <s v="BNS"/>
    <s v="13931-CV"/>
    <n v="0"/>
    <m/>
    <n v="0"/>
    <x v="0"/>
    <n v="0"/>
    <n v="4"/>
    <n v="0"/>
    <s v="Charmaine Lane"/>
    <s v="Internal Ad Sales"/>
    <s v="Broadcast"/>
    <s v="Agency"/>
    <s v="Y"/>
    <s v="2569"/>
    <s v="CVC"/>
  </r>
  <r>
    <s v="H&amp;L Partners:Northern California Toyota Dealer's Assocation"/>
    <d v="2026-04-23T00:00:00"/>
    <d v="2026-04-23T00:00:00"/>
    <s v="Thursday"/>
    <d v="1899-12-30T19:00:00"/>
    <d v="1899-12-30T23:59:00"/>
    <d v="1899-12-30T00:00:30"/>
    <s v="NEED COPY"/>
    <s v="21:38:00"/>
    <s v="M/C"/>
    <m/>
    <n v="1"/>
    <n v="72932"/>
    <s v="BNS"/>
    <s v="13931-CV"/>
    <n v="0"/>
    <m/>
    <n v="0"/>
    <x v="0"/>
    <n v="0"/>
    <n v="4"/>
    <n v="0"/>
    <s v="Charmaine Lane"/>
    <s v="Internal Ad Sales"/>
    <s v="Broadcast"/>
    <s v="Agency"/>
    <s v="Y"/>
    <s v="2569"/>
    <s v="CVC"/>
  </r>
  <r>
    <s v="H&amp;L Partners:Northern California Toyota Dealer's Assocation"/>
    <d v="2026-05-02T00:00:00"/>
    <d v="2026-05-02T00:00:00"/>
    <s v="Saturday"/>
    <d v="1899-12-30T19:00:00"/>
    <d v="1899-12-30T23:59:00"/>
    <d v="1899-12-30T00:00:30"/>
    <s v="NEED COPY"/>
    <s v="22:05:00"/>
    <s v="M/C"/>
    <m/>
    <n v="1"/>
    <n v="72932"/>
    <s v="BNS"/>
    <s v="13931-CV"/>
    <n v="0"/>
    <m/>
    <n v="0"/>
    <x v="1"/>
    <n v="0"/>
    <n v="4"/>
    <n v="0"/>
    <s v="Charmaine Lane"/>
    <s v="Internal Ad Sales"/>
    <s v="Broadcast"/>
    <s v="Agency"/>
    <s v="Y"/>
    <s v="2569"/>
    <s v="CVC"/>
  </r>
  <r>
    <s v="H&amp;L Partners:Northern California Toyota Dealer's Assocation"/>
    <d v="2026-04-22T00:00:00"/>
    <d v="2026-04-22T00:00:00"/>
    <s v="Wednesday"/>
    <d v="1899-12-30T19:00:00"/>
    <d v="1899-12-30T23:59:00"/>
    <d v="1899-12-30T00:00:30"/>
    <s v="NEED COPY"/>
    <s v="22:11:00"/>
    <s v="M/C"/>
    <m/>
    <n v="1"/>
    <n v="72932"/>
    <s v="BNS"/>
    <s v="13931-CV"/>
    <n v="0"/>
    <m/>
    <n v="0"/>
    <x v="0"/>
    <n v="0"/>
    <n v="4"/>
    <n v="0"/>
    <s v="Charmaine Lane"/>
    <s v="Internal Ad Sales"/>
    <s v="Broadcast"/>
    <s v="Agency"/>
    <s v="Y"/>
    <s v="2569"/>
    <s v="CVC"/>
  </r>
  <r>
    <s v="H&amp;L Partners:Northern California Toyota Dealer's Assocation"/>
    <d v="2026-04-06T00:00:00"/>
    <d v="2026-04-06T00:00:00"/>
    <s v="Monday"/>
    <d v="1899-12-30T19:00:00"/>
    <d v="1899-12-30T23:59:00"/>
    <d v="1899-12-30T00:00:30"/>
    <s v="NEED COPY"/>
    <s v="22:43:00"/>
    <s v="M/C"/>
    <m/>
    <n v="1"/>
    <n v="72932"/>
    <s v="BNS"/>
    <s v="13931-CV"/>
    <n v="0"/>
    <m/>
    <n v="0"/>
    <x v="0"/>
    <n v="0"/>
    <n v="4"/>
    <n v="0"/>
    <s v="Charmaine Lane"/>
    <s v="Internal Ad Sales"/>
    <s v="Broadcast"/>
    <s v="Agency"/>
    <s v="Y"/>
    <s v="2569"/>
    <s v="CVC"/>
  </r>
  <r>
    <s v="H&amp;L Partners:Northern California Toyota Dealer's Assocation"/>
    <d v="2026-04-15T00:00:00"/>
    <d v="2026-04-15T00:00:00"/>
    <s v="Wednesday"/>
    <d v="1899-12-30T19:00:00"/>
    <d v="1899-12-30T23:59:00"/>
    <d v="1899-12-30T00:00:30"/>
    <s v="NEED COPY"/>
    <s v="23:11:00"/>
    <s v="M/C"/>
    <m/>
    <n v="1"/>
    <n v="72932"/>
    <s v="BNS"/>
    <s v="13931-CV"/>
    <n v="0"/>
    <m/>
    <n v="0"/>
    <x v="0"/>
    <n v="0"/>
    <n v="4"/>
    <n v="0"/>
    <s v="Charmaine Lane"/>
    <s v="Internal Ad Sales"/>
    <s v="Broadcast"/>
    <s v="Agency"/>
    <s v="Y"/>
    <s v="2569"/>
    <s v="CVC"/>
  </r>
  <r>
    <s v="H&amp;L Partners:Northern California Toyota Dealer's Assocation"/>
    <d v="2026-04-26T00:00:00"/>
    <d v="2026-04-26T00:00:00"/>
    <s v="Sunday"/>
    <d v="1899-12-30T19:00:00"/>
    <d v="1899-12-30T23:59:00"/>
    <d v="1899-12-30T00:00:30"/>
    <s v="NEED COPY"/>
    <s v="23:40:00"/>
    <s v="M/C"/>
    <m/>
    <n v="1"/>
    <n v="72932"/>
    <s v="BNS"/>
    <s v="13931-CV"/>
    <n v="0"/>
    <m/>
    <n v="0"/>
    <x v="0"/>
    <n v="0"/>
    <n v="4"/>
    <n v="0"/>
    <s v="Charmaine Lane"/>
    <s v="Internal Ad Sales"/>
    <s v="Broadcast"/>
    <s v="Agency"/>
    <s v="Y"/>
    <s v="2569"/>
    <s v="CVC"/>
  </r>
  <r>
    <s v="H&amp;L Partners:Northern California Toyota Dealer's Assocation"/>
    <d v="2026-04-07T00:00:00"/>
    <d v="2026-04-07T00:00:00"/>
    <s v="Tuesday"/>
    <d v="1899-12-30T19:00:00"/>
    <d v="1899-12-30T23:59:00"/>
    <d v="1899-12-30T00:00:30"/>
    <s v="NEED COPY"/>
    <s v="23:44:00"/>
    <s v="M/C"/>
    <m/>
    <n v="1"/>
    <n v="72932"/>
    <s v="BNS"/>
    <s v="13931-CV"/>
    <n v="0"/>
    <m/>
    <n v="0"/>
    <x v="0"/>
    <n v="0"/>
    <n v="4"/>
    <n v="0"/>
    <s v="Charmaine Lane"/>
    <s v="Internal Ad Sales"/>
    <s v="Broadcast"/>
    <s v="Agency"/>
    <s v="Y"/>
    <s v="2569"/>
    <s v="CVC"/>
  </r>
  <r>
    <s v="H&amp;L Partners:Northern California Toyota Dealer's Assocation"/>
    <d v="2026-04-08T00:00:00"/>
    <d v="2026-04-08T00:00:00"/>
    <s v="Wednesday"/>
    <d v="1899-12-30T19:00:00"/>
    <d v="1899-12-30T23:59:00"/>
    <d v="1899-12-30T00:00:30"/>
    <s v="NEED COPY"/>
    <s v="23:58:30"/>
    <s v="M/C"/>
    <m/>
    <n v="1"/>
    <n v="72932"/>
    <s v="BNS"/>
    <s v="13931-CV"/>
    <n v="0"/>
    <m/>
    <n v="0"/>
    <x v="0"/>
    <n v="0"/>
    <n v="4"/>
    <n v="0"/>
    <s v="Charmaine Lane"/>
    <s v="Internal Ad Sales"/>
    <s v="Broadcast"/>
    <s v="Agency"/>
    <s v="Y"/>
    <s v="2569"/>
    <s v="CVC"/>
  </r>
  <r>
    <s v="H&amp;L Partners:Northern California Toyota Dealer's Assocation"/>
    <d v="2026-04-07T00:00:00"/>
    <d v="2026-04-07T00:00:00"/>
    <s v="Tuesday"/>
    <d v="1899-12-30T20:00:00"/>
    <d v="1899-12-30T21:00:00"/>
    <d v="1899-12-30T00:00:30"/>
    <s v="NEED COPY"/>
    <s v="20:20:00"/>
    <s v="M"/>
    <m/>
    <n v="1"/>
    <n v="72933"/>
    <s v="COM"/>
    <s v="13931-CV"/>
    <n v="65"/>
    <m/>
    <n v="65"/>
    <x v="0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21T00:00:00"/>
    <d v="2026-04-21T00:00:00"/>
    <s v="Tuesday"/>
    <d v="1899-12-30T20:00:00"/>
    <d v="1899-12-30T21:00:00"/>
    <d v="1899-12-30T00:00:30"/>
    <s v="NEED COPY"/>
    <s v="20:20:00"/>
    <s v="M"/>
    <m/>
    <n v="1"/>
    <n v="72933"/>
    <s v="COM"/>
    <s v="13931-CV"/>
    <n v="65"/>
    <m/>
    <n v="65"/>
    <x v="0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09T00:00:00"/>
    <d v="2026-04-09T00:00:00"/>
    <s v="Thursday"/>
    <d v="1899-12-30T20:00:00"/>
    <d v="1899-12-30T21:00:00"/>
    <d v="1899-12-30T00:00:30"/>
    <s v="NEED COPY"/>
    <s v="20:31:00"/>
    <s v="M"/>
    <m/>
    <n v="1"/>
    <n v="72933"/>
    <s v="COM"/>
    <s v="13931-CV"/>
    <n v="65"/>
    <m/>
    <n v="65"/>
    <x v="0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14T00:00:00"/>
    <d v="2026-04-14T00:00:00"/>
    <s v="Tuesday"/>
    <d v="1899-12-30T20:00:00"/>
    <d v="1899-12-30T21:00:00"/>
    <d v="1899-12-30T00:00:30"/>
    <s v="NEED COPY"/>
    <s v="20:31:00"/>
    <s v="M"/>
    <m/>
    <n v="1"/>
    <n v="72933"/>
    <s v="COM"/>
    <s v="13931-CV"/>
    <n v="65"/>
    <m/>
    <n v="65"/>
    <x v="0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16T00:00:00"/>
    <d v="2026-04-16T00:00:00"/>
    <s v="Thursday"/>
    <d v="1899-12-30T20:00:00"/>
    <d v="1899-12-30T21:00:00"/>
    <d v="1899-12-30T00:00:30"/>
    <s v="NEED COPY"/>
    <s v="20:48:30"/>
    <s v="M"/>
    <m/>
    <n v="1"/>
    <n v="72933"/>
    <s v="COM"/>
    <s v="13931-CV"/>
    <n v="65"/>
    <m/>
    <n v="65"/>
    <x v="0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20T00:00:00"/>
    <d v="2026-04-20T00:00:00"/>
    <s v="Monday"/>
    <d v="1899-12-30T20:00:00"/>
    <d v="1899-12-30T21:00:00"/>
    <d v="1899-12-30T00:00:30"/>
    <s v="NEED COPY"/>
    <s v="20:48:30"/>
    <s v="M"/>
    <m/>
    <n v="1"/>
    <n v="72933"/>
    <s v="COM"/>
    <s v="13931-CV"/>
    <n v="65"/>
    <m/>
    <n v="65"/>
    <x v="0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25T00:00:00"/>
    <d v="2026-04-25T00:00:00"/>
    <s v="Saturday"/>
    <d v="1899-12-30T20:00:00"/>
    <d v="1899-12-30T21:00:00"/>
    <d v="1899-12-30T00:00:30"/>
    <s v="NEED COPY"/>
    <s v="20:48:30"/>
    <s v="M"/>
    <m/>
    <n v="1"/>
    <n v="72933"/>
    <s v="COM"/>
    <s v="13931-CV"/>
    <n v="65"/>
    <m/>
    <n v="65"/>
    <x v="0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06T00:00:00"/>
    <d v="2026-04-06T00:00:00"/>
    <s v="Monday"/>
    <d v="1899-12-30T20:00:00"/>
    <d v="1899-12-30T21:00:00"/>
    <d v="1899-12-30T00:00:30"/>
    <s v="NEED COPY"/>
    <s v="20:59:00"/>
    <s v="M"/>
    <m/>
    <n v="1"/>
    <n v="72933"/>
    <s v="COM"/>
    <s v="13931-CV"/>
    <n v="65"/>
    <m/>
    <n v="65"/>
    <x v="0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17T00:00:00"/>
    <d v="2026-04-17T00:00:00"/>
    <s v="Friday"/>
    <d v="1899-12-30T20:00:00"/>
    <d v="1899-12-30T21:00:00"/>
    <d v="1899-12-30T00:00:30"/>
    <s v="NEED COPY"/>
    <s v="20:59:00"/>
    <s v="M"/>
    <m/>
    <n v="1"/>
    <n v="72933"/>
    <s v="COM"/>
    <s v="13931-CV"/>
    <n v="65"/>
    <m/>
    <n v="65"/>
    <x v="0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30T00:00:00"/>
    <d v="2026-04-30T00:00:00"/>
    <s v="Thursday"/>
    <d v="1899-12-30T20:00:00"/>
    <d v="1899-12-30T21:00:00"/>
    <d v="1899-12-30T00:00:30"/>
    <s v="NEED COPY"/>
    <s v="20:20:00"/>
    <s v="M"/>
    <m/>
    <n v="1"/>
    <n v="72934"/>
    <s v="COM"/>
    <s v="13931-CV"/>
    <n v="65"/>
    <m/>
    <n v="65"/>
    <x v="1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28T00:00:00"/>
    <d v="2026-04-28T00:00:00"/>
    <s v="Tuesday"/>
    <d v="1899-12-30T20:00:00"/>
    <d v="1899-12-30T21:00:00"/>
    <d v="1899-12-30T00:00:30"/>
    <s v="NEED COPY"/>
    <s v="20:31:00"/>
    <s v="M"/>
    <m/>
    <n v="1"/>
    <n v="72934"/>
    <s v="COM"/>
    <s v="13931-CV"/>
    <n v="65"/>
    <m/>
    <n v="65"/>
    <x v="1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27T00:00:00"/>
    <d v="2026-04-27T00:00:00"/>
    <s v="Monday"/>
    <d v="1899-12-30T20:00:00"/>
    <d v="1899-12-30T21:00:00"/>
    <d v="1899-12-30T00:00:30"/>
    <s v="NEED COPY"/>
    <s v="20:48:30"/>
    <s v="M"/>
    <m/>
    <n v="1"/>
    <n v="72934"/>
    <s v="COM"/>
    <s v="13931-CV"/>
    <n v="65"/>
    <m/>
    <n v="65"/>
    <x v="1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5-03T00:00:00"/>
    <d v="2026-05-03T00:00:00"/>
    <s v="Sunday"/>
    <d v="1899-12-30T20:00:00"/>
    <d v="1899-12-30T21:00:00"/>
    <d v="1899-12-30T00:00:30"/>
    <s v="NEED COPY"/>
    <s v="20:48:30"/>
    <s v="M"/>
    <m/>
    <n v="1"/>
    <n v="72934"/>
    <s v="COM"/>
    <s v="13931-CV"/>
    <n v="65"/>
    <m/>
    <n v="65"/>
    <x v="1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29T00:00:00"/>
    <d v="2026-04-29T00:00:00"/>
    <s v="Wednesday"/>
    <d v="1899-12-30T20:00:00"/>
    <d v="1899-12-30T21:00:00"/>
    <d v="1899-12-30T00:00:30"/>
    <s v="NEED COPY"/>
    <s v="20:59:00"/>
    <s v="M"/>
    <m/>
    <n v="1"/>
    <n v="72934"/>
    <s v="COM"/>
    <s v="13931-CV"/>
    <n v="65"/>
    <m/>
    <n v="65"/>
    <x v="1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5-02T00:00:00"/>
    <d v="2026-05-02T00:00:00"/>
    <s v="Saturday"/>
    <d v="1899-12-30T20:00:00"/>
    <d v="1899-12-30T21:00:00"/>
    <d v="1899-12-30T00:00:30"/>
    <s v="NEED COPY"/>
    <s v="20:59:00"/>
    <s v="M"/>
    <m/>
    <n v="1"/>
    <n v="72934"/>
    <s v="COM"/>
    <s v="13931-CV"/>
    <n v="65"/>
    <m/>
    <n v="65"/>
    <x v="1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07T00:00:00"/>
    <d v="2026-04-07T00:00:00"/>
    <s v="Tuesday"/>
    <d v="1899-12-30T21:00:00"/>
    <d v="1899-12-30T23:30:00"/>
    <d v="1899-12-30T00:00:30"/>
    <s v="NEED COPY"/>
    <s v="21:08:00"/>
    <s v="M"/>
    <m/>
    <n v="1"/>
    <n v="72935"/>
    <s v="COM"/>
    <s v="13931-CV"/>
    <n v="65"/>
    <m/>
    <n v="65"/>
    <x v="0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22T00:00:00"/>
    <d v="2026-04-22T00:00:00"/>
    <s v="Wednesday"/>
    <d v="1899-12-30T21:00:00"/>
    <d v="1899-12-30T23:30:00"/>
    <d v="1899-12-30T00:00:30"/>
    <s v="NEED COPY"/>
    <s v="21:18:00"/>
    <s v="M"/>
    <m/>
    <n v="1"/>
    <n v="72935"/>
    <s v="COM"/>
    <s v="13931-CV"/>
    <n v="65"/>
    <m/>
    <n v="65"/>
    <x v="0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14T00:00:00"/>
    <d v="2026-04-14T00:00:00"/>
    <s v="Tuesday"/>
    <d v="1899-12-30T21:00:00"/>
    <d v="1899-12-30T23:30:00"/>
    <d v="1899-12-30T00:00:30"/>
    <s v="NEED COPY"/>
    <s v="21:38:00"/>
    <s v="M"/>
    <m/>
    <n v="1"/>
    <n v="72935"/>
    <s v="COM"/>
    <s v="13931-CV"/>
    <n v="65"/>
    <m/>
    <n v="65"/>
    <x v="0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15T00:00:00"/>
    <d v="2026-04-15T00:00:00"/>
    <s v="Wednesday"/>
    <d v="1899-12-30T21:00:00"/>
    <d v="1899-12-30T23:30:00"/>
    <d v="1899-12-30T00:00:30"/>
    <s v="NEED COPY"/>
    <s v="21:58:00"/>
    <s v="M"/>
    <m/>
    <n v="1"/>
    <n v="72935"/>
    <s v="COM"/>
    <s v="13931-CV"/>
    <n v="65"/>
    <m/>
    <n v="65"/>
    <x v="0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24T00:00:00"/>
    <d v="2026-04-24T00:00:00"/>
    <s v="Friday"/>
    <d v="1899-12-30T21:00:00"/>
    <d v="1899-12-30T23:30:00"/>
    <d v="1899-12-30T00:00:30"/>
    <s v="NEED COPY"/>
    <s v="22:10:00"/>
    <s v="M"/>
    <m/>
    <n v="1"/>
    <n v="72935"/>
    <s v="COM"/>
    <s v="13931-CV"/>
    <n v="65"/>
    <m/>
    <n v="65"/>
    <x v="0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10T00:00:00"/>
    <d v="2026-04-10T00:00:00"/>
    <s v="Friday"/>
    <d v="1899-12-30T21:00:00"/>
    <d v="1899-12-30T23:30:00"/>
    <d v="1899-12-30T00:00:30"/>
    <s v="NEED COPY"/>
    <s v="22:40:00"/>
    <s v="M"/>
    <m/>
    <n v="1"/>
    <n v="72935"/>
    <s v="COM"/>
    <s v="13931-CV"/>
    <n v="65"/>
    <m/>
    <n v="65"/>
    <x v="0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16T00:00:00"/>
    <d v="2026-04-16T00:00:00"/>
    <s v="Thursday"/>
    <d v="1899-12-30T21:00:00"/>
    <d v="1899-12-30T23:30:00"/>
    <d v="1899-12-30T00:00:30"/>
    <s v="NEED COPY"/>
    <s v="23:25:00"/>
    <s v="M"/>
    <m/>
    <n v="1"/>
    <n v="72935"/>
    <s v="COM"/>
    <s v="13931-CV"/>
    <n v="65"/>
    <m/>
    <n v="65"/>
    <x v="0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21T00:00:00"/>
    <d v="2026-04-21T00:00:00"/>
    <s v="Tuesday"/>
    <d v="1899-12-30T21:00:00"/>
    <d v="1899-12-30T23:30:00"/>
    <d v="1899-12-30T00:00:30"/>
    <s v="NEED COPY"/>
    <s v="23:27:00"/>
    <s v="M"/>
    <m/>
    <n v="1"/>
    <n v="72935"/>
    <s v="COM"/>
    <s v="13931-CV"/>
    <n v="65"/>
    <m/>
    <n v="65"/>
    <x v="0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06T00:00:00"/>
    <d v="2026-04-06T00:00:00"/>
    <s v="Monday"/>
    <d v="1899-12-30T21:00:00"/>
    <d v="1899-12-30T23:30:00"/>
    <d v="1899-12-30T00:00:30"/>
    <s v="NEED COPY"/>
    <s v="23:28:00"/>
    <s v="M"/>
    <m/>
    <n v="1"/>
    <n v="72935"/>
    <s v="COM"/>
    <s v="13931-CV"/>
    <n v="65"/>
    <m/>
    <n v="65"/>
    <x v="0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30T00:00:00"/>
    <d v="2026-04-30T00:00:00"/>
    <s v="Thursday"/>
    <d v="1899-12-30T21:00:00"/>
    <d v="1899-12-30T23:30:00"/>
    <d v="1899-12-30T00:00:30"/>
    <s v="NEED COPY"/>
    <s v="21:18:00"/>
    <s v="M"/>
    <m/>
    <n v="1"/>
    <n v="72936"/>
    <s v="COM"/>
    <s v="13931-CV"/>
    <n v="65"/>
    <m/>
    <n v="65"/>
    <x v="1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5-01T00:00:00"/>
    <d v="2026-05-01T00:00:00"/>
    <s v="Friday"/>
    <d v="1899-12-30T21:00:00"/>
    <d v="1899-12-30T23:30:00"/>
    <d v="1899-12-30T00:00:30"/>
    <s v="NEED COPY"/>
    <s v="21:28:00"/>
    <s v="M"/>
    <m/>
    <n v="1"/>
    <n v="72936"/>
    <s v="COM"/>
    <s v="13931-CV"/>
    <n v="65"/>
    <m/>
    <n v="65"/>
    <x v="1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28T00:00:00"/>
    <d v="2026-04-28T00:00:00"/>
    <s v="Tuesday"/>
    <d v="1899-12-30T21:00:00"/>
    <d v="1899-12-30T23:30:00"/>
    <d v="1899-12-30T00:00:30"/>
    <s v="NEED COPY"/>
    <s v="21:38:00"/>
    <s v="M"/>
    <m/>
    <n v="1"/>
    <n v="72936"/>
    <s v="COM"/>
    <s v="13931-CV"/>
    <n v="65"/>
    <m/>
    <n v="65"/>
    <x v="1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29T00:00:00"/>
    <d v="2026-04-29T00:00:00"/>
    <s v="Wednesday"/>
    <d v="1899-12-30T21:00:00"/>
    <d v="1899-12-30T23:30:00"/>
    <d v="1899-12-30T00:00:30"/>
    <s v="NEED COPY"/>
    <s v="23:11:00"/>
    <s v="M"/>
    <m/>
    <n v="1"/>
    <n v="72936"/>
    <s v="COM"/>
    <s v="13931-CV"/>
    <n v="65"/>
    <m/>
    <n v="65"/>
    <x v="1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12T00:00:00"/>
    <d v="2026-04-12T00:00:00"/>
    <s v="Sunday"/>
    <d v="1899-12-30T21:00:00"/>
    <d v="1899-12-30T23:59:00"/>
    <d v="1899-12-30T00:00:30"/>
    <s v="NEED COPY"/>
    <s v="22:12:00"/>
    <s v="M"/>
    <m/>
    <n v="1"/>
    <n v="72937"/>
    <s v="COM"/>
    <s v="13931-CV"/>
    <n v="65"/>
    <m/>
    <n v="65"/>
    <x v="0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19T00:00:00"/>
    <d v="2026-04-19T00:00:00"/>
    <s v="Sunday"/>
    <d v="1899-12-30T21:00:00"/>
    <d v="1899-12-30T23:59:00"/>
    <d v="1899-12-30T00:00:30"/>
    <s v="NEED COPY"/>
    <s v="22:27:00"/>
    <s v="M"/>
    <m/>
    <n v="1"/>
    <n v="72937"/>
    <s v="COM"/>
    <s v="13931-CV"/>
    <n v="65"/>
    <m/>
    <n v="65"/>
    <x v="0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5-02T00:00:00"/>
    <d v="2026-05-02T00:00:00"/>
    <s v="Saturday"/>
    <d v="1899-12-30T21:00:00"/>
    <d v="1899-12-30T23:59:00"/>
    <d v="1899-12-30T00:00:30"/>
    <s v="NEED COPY"/>
    <s v="23:11:00"/>
    <s v="M"/>
    <m/>
    <n v="1"/>
    <n v="72937"/>
    <s v="COM"/>
    <s v="13931-CV"/>
    <n v="65"/>
    <m/>
    <n v="65"/>
    <x v="1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25T00:00:00"/>
    <d v="2026-04-25T00:00:00"/>
    <s v="Saturday"/>
    <d v="1899-12-30T21:00:00"/>
    <d v="1899-12-30T23:59:00"/>
    <d v="1899-12-30T00:00:30"/>
    <s v="NEED COPY"/>
    <s v="23:56:00"/>
    <s v="M"/>
    <m/>
    <n v="1"/>
    <n v="72937"/>
    <s v="COM"/>
    <s v="13931-CV"/>
    <n v="65"/>
    <m/>
    <n v="65"/>
    <x v="0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02T00:00:00"/>
    <d v="2026-04-02T00:00:00"/>
    <s v="Thursday"/>
    <d v="1899-12-30T13:00:00"/>
    <d v="1899-12-30T14:00:00"/>
    <d v="1899-12-30T00:00:30"/>
    <s v="NEED COPY"/>
    <s v="13:29:00"/>
    <s v="SA"/>
    <m/>
    <n v="1"/>
    <n v="72938"/>
    <s v="COM"/>
    <s v="13931-CV"/>
    <n v="50"/>
    <m/>
    <n v="50"/>
    <x v="0"/>
    <n v="7.5"/>
    <n v="4"/>
    <n v="42.5"/>
    <s v="Charmaine Lane"/>
    <s v="Internal Ad Sales"/>
    <s v="Broadcast"/>
    <s v="Agency"/>
    <s v="Y"/>
    <s v="2569"/>
    <s v="CVC"/>
  </r>
  <r>
    <s v="H&amp;L Partners:Northern California Toyota Dealer's Assocation"/>
    <d v="2026-04-01T00:00:00"/>
    <d v="2026-04-01T00:00:00"/>
    <s v="Wednesday"/>
    <d v="1899-12-30T13:00:00"/>
    <d v="1899-12-30T14:00:00"/>
    <d v="1899-12-30T00:00:30"/>
    <s v="NEED COPY"/>
    <s v="13:48:30"/>
    <s v="SA"/>
    <m/>
    <n v="1"/>
    <n v="72938"/>
    <s v="COM"/>
    <s v="13931-CV"/>
    <n v="50"/>
    <m/>
    <n v="50"/>
    <x v="0"/>
    <n v="7.5"/>
    <n v="4"/>
    <n v="42.5"/>
    <s v="Charmaine Lane"/>
    <s v="Internal Ad Sales"/>
    <s v="Broadcast"/>
    <s v="Agency"/>
    <s v="Y"/>
    <s v="2569"/>
    <s v="CVC"/>
  </r>
  <r>
    <s v="H&amp;L Partners:Northern California Toyota Dealer's Assocation"/>
    <d v="2026-04-02T00:00:00"/>
    <d v="2026-04-02T00:00:00"/>
    <s v="Thursday"/>
    <d v="1899-12-30T18:30:00"/>
    <d v="1899-12-30T19:00:00"/>
    <d v="1899-12-30T00:00:30"/>
    <s v="NEED COPY"/>
    <s v="18:38:00"/>
    <s v="T"/>
    <m/>
    <n v="1"/>
    <n v="72939"/>
    <s v="COM"/>
    <s v="13931-CV"/>
    <n v="65"/>
    <m/>
    <n v="65"/>
    <x v="0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03T00:00:00"/>
    <d v="2026-04-03T00:00:00"/>
    <s v="Friday"/>
    <d v="1899-12-30T18:30:00"/>
    <d v="1899-12-30T19:00:00"/>
    <d v="1899-12-30T00:00:30"/>
    <s v="NEED COPY"/>
    <s v="18:49:00"/>
    <s v="T"/>
    <m/>
    <n v="1"/>
    <n v="72939"/>
    <s v="COM"/>
    <s v="13931-CV"/>
    <n v="65"/>
    <m/>
    <n v="65"/>
    <x v="0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02T00:00:00"/>
    <d v="2026-04-02T00:00:00"/>
    <s v="Thursday"/>
    <d v="1899-12-30T19:00:00"/>
    <d v="1899-12-30T20:00:00"/>
    <d v="1899-12-30T00:00:30"/>
    <s v="NEED COPY"/>
    <s v="19:14:00"/>
    <s v="C"/>
    <m/>
    <n v="1"/>
    <n v="72940"/>
    <s v="COM"/>
    <s v="13931-CV"/>
    <n v="65"/>
    <m/>
    <n v="65"/>
    <x v="0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01T00:00:00"/>
    <d v="2026-04-01T00:00:00"/>
    <s v="Wednesday"/>
    <d v="1899-12-30T19:00:00"/>
    <d v="1899-12-30T20:00:00"/>
    <d v="1899-12-30T00:00:30"/>
    <s v="NEED COPY"/>
    <s v="19:25:30"/>
    <s v="C"/>
    <m/>
    <n v="1"/>
    <n v="72940"/>
    <s v="COM"/>
    <s v="13931-CV"/>
    <n v="65"/>
    <m/>
    <n v="65"/>
    <x v="0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05T00:00:00"/>
    <d v="2026-04-05T00:00:00"/>
    <s v="Sunday"/>
    <d v="1899-12-30T19:00:00"/>
    <d v="1899-12-30T23:59:00"/>
    <d v="1899-12-30T00:00:30"/>
    <s v="NEED COPY"/>
    <s v="20:48:30"/>
    <s v="M/C"/>
    <m/>
    <n v="1"/>
    <n v="72941"/>
    <s v="BNS"/>
    <s v="13931-CV"/>
    <n v="0"/>
    <m/>
    <n v="0"/>
    <x v="0"/>
    <n v="0"/>
    <n v="4"/>
    <n v="0"/>
    <s v="Charmaine Lane"/>
    <s v="Internal Ad Sales"/>
    <s v="Broadcast"/>
    <s v="Agency"/>
    <s v="Y"/>
    <s v="2569"/>
    <s v="CVC"/>
  </r>
  <r>
    <s v="H&amp;L Partners:Northern California Toyota Dealer's Assocation"/>
    <d v="2026-04-04T00:00:00"/>
    <d v="2026-04-04T00:00:00"/>
    <s v="Saturday"/>
    <d v="1899-12-30T19:00:00"/>
    <d v="1899-12-30T23:59:00"/>
    <d v="1899-12-30T00:00:30"/>
    <s v="NEED COPY"/>
    <s v="22:05:00"/>
    <s v="M/C"/>
    <m/>
    <n v="1"/>
    <n v="72941"/>
    <s v="BNS"/>
    <s v="13931-CV"/>
    <n v="0"/>
    <m/>
    <n v="0"/>
    <x v="0"/>
    <n v="0"/>
    <n v="4"/>
    <n v="0"/>
    <s v="Charmaine Lane"/>
    <s v="Internal Ad Sales"/>
    <s v="Broadcast"/>
    <s v="Agency"/>
    <s v="Y"/>
    <s v="2569"/>
    <s v="CVC"/>
  </r>
  <r>
    <s v="H&amp;L Partners:Northern California Toyota Dealer's Assocation"/>
    <d v="2026-04-05T00:00:00"/>
    <d v="2026-04-05T00:00:00"/>
    <s v="Sunday"/>
    <d v="1899-12-30T20:00:00"/>
    <d v="1899-12-30T21:00:00"/>
    <d v="1899-12-30T00:00:30"/>
    <s v="NEED COPY"/>
    <s v="20:20:00"/>
    <s v="M"/>
    <m/>
    <n v="1"/>
    <n v="72942"/>
    <s v="COM"/>
    <s v="13931-CV"/>
    <n v="65"/>
    <m/>
    <n v="65"/>
    <x v="0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02T00:00:00"/>
    <d v="2026-04-02T00:00:00"/>
    <s v="Thursday"/>
    <d v="1899-12-30T20:00:00"/>
    <d v="1899-12-30T21:00:00"/>
    <d v="1899-12-30T00:00:30"/>
    <s v="NEED COPY"/>
    <s v="20:31:00"/>
    <s v="M"/>
    <m/>
    <n v="1"/>
    <n v="72942"/>
    <s v="COM"/>
    <s v="13931-CV"/>
    <n v="65"/>
    <m/>
    <n v="65"/>
    <x v="0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01T00:00:00"/>
    <d v="2026-04-01T00:00:00"/>
    <s v="Wednesday"/>
    <d v="1899-12-30T21:00:00"/>
    <d v="1899-12-30T23:30:00"/>
    <d v="1899-12-30T00:00:30"/>
    <s v="NEED COPY"/>
    <s v="21:48:00"/>
    <s v="M"/>
    <m/>
    <n v="1"/>
    <n v="72943"/>
    <s v="COM"/>
    <s v="13931-CV"/>
    <n v="65"/>
    <m/>
    <n v="65"/>
    <x v="0"/>
    <n v="9.75"/>
    <n v="4"/>
    <n v="55.25"/>
    <s v="Charmaine Lane"/>
    <s v="Internal Ad Sales"/>
    <s v="Broadcast"/>
    <s v="Agency"/>
    <s v="Y"/>
    <s v="2569"/>
    <s v="CVC"/>
  </r>
  <r>
    <s v="H&amp;L Partners:Northern California Toyota Dealer's Assocation"/>
    <d v="2026-04-03T00:00:00"/>
    <d v="2026-04-03T00:00:00"/>
    <s v="Friday"/>
    <d v="1899-12-30T21:00:00"/>
    <d v="1899-12-30T23:30:00"/>
    <d v="1899-12-30T00:00:30"/>
    <s v="NEED COPY"/>
    <s v="22:10:00"/>
    <s v="M"/>
    <m/>
    <n v="1"/>
    <n v="72943"/>
    <s v="COM"/>
    <s v="13931-CV"/>
    <n v="65"/>
    <m/>
    <n v="65"/>
    <x v="0"/>
    <n v="9.75"/>
    <n v="4"/>
    <n v="55.25"/>
    <s v="Charmaine Lane"/>
    <s v="Internal Ad Sales"/>
    <s v="Broadcast"/>
    <s v="Agency"/>
    <s v="Y"/>
    <s v="2569"/>
    <s v="CVC"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>
  <location ref="A3:C7" firstHeaderRow="0" firstDataRow="1" firstDataCol="1"/>
  <pivotFields count="2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62">
        <item m="1" x="33"/>
        <item x="2"/>
        <item m="1" x="59"/>
        <item m="1" x="48"/>
        <item m="1" x="54"/>
        <item m="1" x="43"/>
        <item m="1" x="39"/>
        <item m="1" x="57"/>
        <item m="1" x="40"/>
        <item m="1" x="36"/>
        <item m="1" x="60"/>
        <item m="1" x="58"/>
        <item m="1" x="49"/>
        <item m="1" x="46"/>
        <item m="1" x="50"/>
        <item m="1" x="51"/>
        <item m="1" x="41"/>
        <item m="1" x="37"/>
        <item m="1" x="34"/>
        <item m="1" x="30"/>
        <item m="1" x="55"/>
        <item m="1" x="52"/>
        <item m="1" x="56"/>
        <item m="1" x="53"/>
        <item m="1" x="42"/>
        <item m="1" x="38"/>
        <item m="1" x="35"/>
        <item m="1" x="32"/>
        <item m="1" x="31"/>
        <item m="1" x="47"/>
        <item m="1" x="45"/>
        <item m="1" x="44"/>
        <item m="1" x="29"/>
        <item m="1" x="28"/>
        <item m="1" x="27"/>
        <item m="1" x="26"/>
        <item m="1" x="25"/>
        <item m="1" x="23"/>
        <item m="1" x="24"/>
        <item m="1" x="22"/>
        <item m="1" x="21"/>
        <item m="1" x="20"/>
        <item m="1" x="19"/>
        <item m="1" x="18"/>
        <item m="1" x="16"/>
        <item m="1" x="17"/>
        <item m="1" x="15"/>
        <item m="1" x="13"/>
        <item m="1" x="14"/>
        <item m="1" x="11"/>
        <item m="1" x="12"/>
        <item m="1" x="10"/>
        <item m="1" x="9"/>
        <item m="1" x="8"/>
        <item m="1" x="7"/>
        <item m="1" x="5"/>
        <item m="1" x="6"/>
        <item m="1" x="4"/>
        <item m="1" x="3"/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"/>
  </rowFields>
  <rowItems count="4">
    <i>
      <x v="1"/>
    </i>
    <i>
      <x v="59"/>
    </i>
    <i>
      <x v="6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Gross Rate" fld="15" baseField="18" baseItem="0" numFmtId="168"/>
    <dataField name="Sum of Station Net" fld="21" baseField="18" baseItem="6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tschappat@hl.agency" TargetMode="External"/><Relationship Id="rId1" Type="http://schemas.openxmlformats.org/officeDocument/2006/relationships/externalLinkPath" Target="file:///B:\Accounting\Billing\2010\98B3742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0">
    <pageSetUpPr fitToPage="1"/>
  </sheetPr>
  <dimension ref="A1:AJ44"/>
  <sheetViews>
    <sheetView tabSelected="1" topLeftCell="B1" zoomScaleNormal="100" workbookViewId="0">
      <selection activeCell="H12" sqref="H12"/>
    </sheetView>
  </sheetViews>
  <sheetFormatPr defaultColWidth="0" defaultRowHeight="15" customHeight="1" x14ac:dyDescent="0.2"/>
  <cols>
    <col min="1" max="1" width="23.28515625" style="32" hidden="1" customWidth="1"/>
    <col min="2" max="2" width="11" style="33" customWidth="1"/>
    <col min="3" max="3" width="10.7109375" style="33" hidden="1" customWidth="1"/>
    <col min="4" max="4" width="10.7109375" style="33" customWidth="1"/>
    <col min="5" max="5" width="10.85546875" style="33" customWidth="1"/>
    <col min="6" max="6" width="10.140625" style="33" bestFit="1" customWidth="1"/>
    <col min="7" max="7" width="7.140625" style="33" bestFit="1" customWidth="1"/>
    <col min="8" max="8" width="25.28515625" style="32" customWidth="1"/>
    <col min="9" max="9" width="11.42578125" style="33" customWidth="1"/>
    <col min="10" max="10" width="5.85546875" style="33" customWidth="1"/>
    <col min="11" max="11" width="6.42578125" style="33" hidden="1" customWidth="1"/>
    <col min="12" max="12" width="10" style="33" customWidth="1"/>
    <col min="13" max="13" width="10" style="33" hidden="1" customWidth="1"/>
    <col min="14" max="16" width="11.5703125" style="33" customWidth="1"/>
    <col min="17" max="17" width="11.28515625" style="33" bestFit="1" customWidth="1"/>
    <col min="18" max="18" width="9.85546875" style="32" hidden="1" customWidth="1"/>
    <col min="19" max="19" width="6.7109375" style="32" hidden="1" customWidth="1"/>
    <col min="20" max="20" width="10.5703125" style="32" hidden="1" customWidth="1"/>
    <col min="21" max="21" width="26.5703125" style="32" hidden="1" customWidth="1"/>
    <col min="22" max="22" width="10.140625" style="32" hidden="1" customWidth="1"/>
    <col min="23" max="23" width="11" style="32" hidden="1" customWidth="1"/>
    <col min="24" max="24" width="11.7109375" style="32" hidden="1" customWidth="1"/>
    <col min="25" max="25" width="10.140625" style="32" hidden="1" customWidth="1"/>
    <col min="26" max="26" width="7.140625" style="32" hidden="1" customWidth="1"/>
    <col min="27" max="28" width="8.42578125" style="32" hidden="1" customWidth="1"/>
    <col min="29" max="29" width="6.42578125" style="32" hidden="1" customWidth="1"/>
    <col min="30" max="36" width="0" style="32" hidden="1" customWidth="1"/>
    <col min="37" max="16384" width="149.140625" style="32" hidden="1"/>
  </cols>
  <sheetData>
    <row r="1" spans="2:22" customFormat="1" ht="15" customHeight="1" x14ac:dyDescent="0.25">
      <c r="B1" s="1"/>
      <c r="C1" s="2"/>
      <c r="D1" s="2"/>
      <c r="E1" s="2"/>
      <c r="F1" s="87" t="s">
        <v>34</v>
      </c>
      <c r="G1" s="87"/>
      <c r="H1" s="87"/>
      <c r="I1" s="87"/>
      <c r="J1" s="87"/>
      <c r="K1" s="87"/>
      <c r="L1" s="87"/>
      <c r="M1" s="2"/>
      <c r="N1" s="2"/>
      <c r="O1" s="2"/>
      <c r="P1" s="2"/>
      <c r="Q1" s="2"/>
    </row>
    <row r="2" spans="2:22" customFormat="1" ht="15" customHeight="1" x14ac:dyDescent="0.25">
      <c r="B2" s="3"/>
      <c r="C2" s="2"/>
      <c r="D2" s="2"/>
      <c r="E2" s="2"/>
      <c r="F2" s="2"/>
      <c r="G2" s="2"/>
      <c r="I2" s="2"/>
      <c r="J2" s="2"/>
      <c r="K2" s="2"/>
      <c r="L2" s="2"/>
      <c r="M2" s="2"/>
      <c r="N2" s="2"/>
      <c r="O2" s="2"/>
      <c r="P2" s="2"/>
      <c r="Q2" s="2"/>
    </row>
    <row r="3" spans="2:22" customFormat="1" ht="15" customHeight="1" x14ac:dyDescent="0.25">
      <c r="B3" s="1" t="s">
        <v>0</v>
      </c>
      <c r="C3" s="2"/>
      <c r="D3" s="88" t="s">
        <v>82</v>
      </c>
      <c r="E3" s="88"/>
      <c r="F3" s="88"/>
      <c r="G3" s="88"/>
      <c r="I3" s="3" t="s">
        <v>1</v>
      </c>
      <c r="J3" s="2"/>
      <c r="K3" s="2"/>
      <c r="L3" s="89" t="s">
        <v>59</v>
      </c>
      <c r="M3" s="89"/>
      <c r="N3" s="89"/>
      <c r="O3" s="89"/>
      <c r="P3" s="89"/>
      <c r="Q3" s="89"/>
    </row>
    <row r="4" spans="2:22" customFormat="1" ht="15" customHeight="1" x14ac:dyDescent="0.25">
      <c r="B4" s="1" t="s">
        <v>2</v>
      </c>
      <c r="C4" s="2"/>
      <c r="D4" s="93" t="s">
        <v>121</v>
      </c>
      <c r="E4" s="93"/>
      <c r="F4" s="93"/>
      <c r="G4" s="93"/>
      <c r="I4" s="3" t="s">
        <v>4</v>
      </c>
      <c r="L4" s="89">
        <v>13931</v>
      </c>
      <c r="M4" s="89"/>
      <c r="N4" s="89"/>
      <c r="O4" s="89"/>
      <c r="P4" s="89"/>
      <c r="Q4" s="89"/>
    </row>
    <row r="5" spans="2:22" customFormat="1" ht="15" customHeight="1" x14ac:dyDescent="0.25">
      <c r="B5" s="1" t="s">
        <v>3</v>
      </c>
      <c r="C5" s="2"/>
      <c r="D5" s="4" t="s">
        <v>74</v>
      </c>
      <c r="E5" s="2"/>
      <c r="F5" s="2"/>
      <c r="G5" s="2"/>
      <c r="I5" s="3" t="s">
        <v>5</v>
      </c>
      <c r="J5" s="2"/>
      <c r="K5" s="2"/>
      <c r="L5" s="89" t="s">
        <v>6</v>
      </c>
      <c r="M5" s="89"/>
      <c r="N5" s="89"/>
      <c r="O5" s="89"/>
      <c r="P5" s="89"/>
      <c r="Q5" s="89"/>
    </row>
    <row r="6" spans="2:22" customFormat="1" ht="15" customHeight="1" x14ac:dyDescent="0.25">
      <c r="B6" s="1"/>
      <c r="C6" s="2"/>
      <c r="D6" s="88" t="s">
        <v>75</v>
      </c>
      <c r="E6" s="88"/>
      <c r="F6" s="51" t="s">
        <v>58</v>
      </c>
      <c r="G6" s="51">
        <v>94607</v>
      </c>
      <c r="I6" s="3" t="s">
        <v>8</v>
      </c>
      <c r="J6" s="2"/>
      <c r="K6" s="2"/>
      <c r="L6" s="89" t="s">
        <v>72</v>
      </c>
      <c r="M6" s="89"/>
      <c r="N6" s="89"/>
      <c r="O6" s="89"/>
      <c r="P6" s="89"/>
      <c r="Q6" s="89"/>
    </row>
    <row r="7" spans="2:22" customFormat="1" ht="15" customHeight="1" x14ac:dyDescent="0.25">
      <c r="B7" s="2"/>
      <c r="C7" s="2"/>
      <c r="D7" s="4"/>
      <c r="E7" s="2"/>
      <c r="F7" s="2"/>
      <c r="G7" s="2"/>
    </row>
    <row r="8" spans="2:22" customFormat="1" ht="15" customHeight="1" x14ac:dyDescent="0.25">
      <c r="B8" s="1" t="s">
        <v>7</v>
      </c>
      <c r="C8" s="2"/>
      <c r="D8" s="92">
        <v>4154348500</v>
      </c>
      <c r="E8" s="92"/>
      <c r="F8" s="92"/>
      <c r="G8" s="92"/>
      <c r="I8" s="3" t="s">
        <v>48</v>
      </c>
      <c r="J8" s="2"/>
      <c r="K8" s="2"/>
      <c r="L8" s="91">
        <v>46085</v>
      </c>
      <c r="M8" s="91"/>
      <c r="N8" s="91"/>
      <c r="O8" s="91"/>
      <c r="P8" s="91"/>
      <c r="Q8" s="91"/>
    </row>
    <row r="9" spans="2:22" customFormat="1" ht="15" customHeight="1" x14ac:dyDescent="0.25">
      <c r="B9" s="1" t="s">
        <v>9</v>
      </c>
      <c r="C9" s="2"/>
      <c r="D9" s="92"/>
      <c r="E9" s="92"/>
      <c r="F9" s="92"/>
      <c r="G9" s="92"/>
      <c r="I9" s="3" t="s">
        <v>11</v>
      </c>
      <c r="J9" s="2"/>
      <c r="K9" s="2"/>
      <c r="L9" s="4">
        <v>2569</v>
      </c>
      <c r="M9" s="4"/>
      <c r="N9" s="4"/>
      <c r="O9" s="4"/>
      <c r="P9" s="4"/>
      <c r="Q9" s="4"/>
    </row>
    <row r="10" spans="2:22" customFormat="1" ht="15" customHeight="1" x14ac:dyDescent="0.25">
      <c r="B10" s="1" t="s">
        <v>10</v>
      </c>
      <c r="C10" s="2"/>
      <c r="D10" s="94" t="s">
        <v>122</v>
      </c>
      <c r="E10" s="95"/>
      <c r="F10" s="95"/>
      <c r="G10" s="95"/>
      <c r="I10" s="3" t="s">
        <v>50</v>
      </c>
      <c r="L10" s="4">
        <v>0</v>
      </c>
    </row>
    <row r="11" spans="2:22" customFormat="1" ht="15" customHeight="1" x14ac:dyDescent="0.25">
      <c r="B11" s="1"/>
      <c r="C11" s="2"/>
      <c r="D11" s="38"/>
      <c r="I11" s="3" t="s">
        <v>51</v>
      </c>
      <c r="J11" s="2"/>
      <c r="K11" s="89" t="s">
        <v>66</v>
      </c>
      <c r="L11" s="89"/>
      <c r="M11" s="89"/>
      <c r="N11" s="89"/>
      <c r="O11" s="89"/>
      <c r="P11" s="89"/>
      <c r="Q11" s="89"/>
    </row>
    <row r="12" spans="2:22" customFormat="1" ht="15" customHeight="1" x14ac:dyDescent="0.25">
      <c r="I12" s="3"/>
      <c r="J12" s="2"/>
      <c r="K12" s="2"/>
      <c r="L12" s="4"/>
      <c r="M12" s="4"/>
      <c r="N12" s="4"/>
      <c r="O12" s="4"/>
      <c r="P12" s="4"/>
      <c r="Q12" s="4"/>
    </row>
    <row r="13" spans="2:22" s="5" customFormat="1" ht="36.75" customHeight="1" x14ac:dyDescent="0.25">
      <c r="B13" s="6" t="s">
        <v>36</v>
      </c>
      <c r="C13" s="6"/>
      <c r="D13" s="5" t="s">
        <v>35</v>
      </c>
      <c r="E13" s="7" t="s">
        <v>14</v>
      </c>
      <c r="F13" s="7" t="s">
        <v>39</v>
      </c>
      <c r="G13" s="7" t="s">
        <v>40</v>
      </c>
      <c r="H13" s="8" t="s">
        <v>37</v>
      </c>
      <c r="I13" s="7" t="s">
        <v>54</v>
      </c>
      <c r="J13" s="5" t="s">
        <v>41</v>
      </c>
      <c r="L13" s="5" t="s">
        <v>38</v>
      </c>
      <c r="N13" s="5" t="s">
        <v>18</v>
      </c>
      <c r="O13" s="9" t="s">
        <v>55</v>
      </c>
      <c r="P13" s="5" t="s">
        <v>56</v>
      </c>
      <c r="R13" s="9"/>
      <c r="S13" s="9"/>
      <c r="T13" s="9"/>
      <c r="U13" s="9"/>
      <c r="V13" s="9"/>
    </row>
    <row r="14" spans="2:22" s="10" customFormat="1" x14ac:dyDescent="0.25">
      <c r="B14" s="57">
        <v>1</v>
      </c>
      <c r="C14" s="11"/>
      <c r="D14" s="12">
        <v>46118</v>
      </c>
      <c r="E14" s="12">
        <v>46145</v>
      </c>
      <c r="F14" s="57">
        <v>12</v>
      </c>
      <c r="G14" s="13" t="s">
        <v>104</v>
      </c>
      <c r="H14" s="10" t="s">
        <v>105</v>
      </c>
      <c r="I14" s="57">
        <v>1</v>
      </c>
      <c r="J14" s="57" t="s">
        <v>33</v>
      </c>
      <c r="L14" s="57">
        <f t="shared" ref="L14" si="0">F14*I14</f>
        <v>12</v>
      </c>
      <c r="N14" s="57" t="s">
        <v>77</v>
      </c>
      <c r="O14" s="41">
        <v>50</v>
      </c>
      <c r="P14" s="41">
        <f t="shared" ref="P14" si="1">L14*O14</f>
        <v>600</v>
      </c>
      <c r="R14" s="14"/>
      <c r="T14" s="14"/>
      <c r="U14" s="14"/>
      <c r="V14" s="14"/>
    </row>
    <row r="15" spans="2:22" s="10" customFormat="1" ht="30" x14ac:dyDescent="0.25">
      <c r="B15" s="57">
        <v>2</v>
      </c>
      <c r="C15" s="11"/>
      <c r="D15" s="12">
        <v>46118</v>
      </c>
      <c r="E15" s="12">
        <v>46145</v>
      </c>
      <c r="F15" s="57">
        <v>13</v>
      </c>
      <c r="G15" s="13" t="s">
        <v>104</v>
      </c>
      <c r="H15" s="10" t="s">
        <v>106</v>
      </c>
      <c r="I15" s="57">
        <v>1</v>
      </c>
      <c r="J15" s="57" t="s">
        <v>33</v>
      </c>
      <c r="L15" s="57">
        <f t="shared" ref="L15" si="2">F15*I15</f>
        <v>13</v>
      </c>
      <c r="N15" s="57" t="s">
        <v>77</v>
      </c>
      <c r="O15" s="41">
        <v>65</v>
      </c>
      <c r="P15" s="41">
        <f t="shared" ref="P15" si="3">L15*O15</f>
        <v>845</v>
      </c>
      <c r="R15" s="14"/>
      <c r="T15" s="14"/>
      <c r="U15" s="14"/>
      <c r="V15" s="14"/>
    </row>
    <row r="16" spans="2:22" s="10" customFormat="1" x14ac:dyDescent="0.25">
      <c r="B16" s="57">
        <v>3</v>
      </c>
      <c r="C16" s="11"/>
      <c r="D16" s="12">
        <v>46118</v>
      </c>
      <c r="E16" s="12">
        <v>46145</v>
      </c>
      <c r="F16" s="57">
        <v>13</v>
      </c>
      <c r="G16" s="13" t="s">
        <v>104</v>
      </c>
      <c r="H16" s="10" t="s">
        <v>107</v>
      </c>
      <c r="I16" s="57">
        <v>1</v>
      </c>
      <c r="J16" s="57" t="s">
        <v>33</v>
      </c>
      <c r="L16" s="57">
        <f t="shared" ref="L16" si="4">F16*I16</f>
        <v>13</v>
      </c>
      <c r="N16" s="57" t="s">
        <v>77</v>
      </c>
      <c r="O16" s="41">
        <v>65</v>
      </c>
      <c r="P16" s="41">
        <f t="shared" ref="P16" si="5">L16*O16</f>
        <v>845</v>
      </c>
      <c r="R16" s="14"/>
      <c r="T16" s="14"/>
      <c r="U16" s="14"/>
      <c r="V16" s="14"/>
    </row>
    <row r="17" spans="2:22" s="10" customFormat="1" ht="18.75" customHeight="1" x14ac:dyDescent="0.25">
      <c r="B17" s="57">
        <v>4</v>
      </c>
      <c r="C17" s="11"/>
      <c r="D17" s="12">
        <v>46118</v>
      </c>
      <c r="E17" s="12">
        <v>46145</v>
      </c>
      <c r="F17" s="57">
        <v>12</v>
      </c>
      <c r="G17" s="13" t="s">
        <v>104</v>
      </c>
      <c r="H17" s="10" t="s">
        <v>108</v>
      </c>
      <c r="I17" s="57">
        <v>1</v>
      </c>
      <c r="J17" s="57" t="s">
        <v>73</v>
      </c>
      <c r="L17" s="57">
        <f>F17*I17</f>
        <v>12</v>
      </c>
      <c r="N17" s="57" t="s">
        <v>77</v>
      </c>
      <c r="O17" s="41">
        <v>0</v>
      </c>
      <c r="P17" s="41">
        <f>L17*O17</f>
        <v>0</v>
      </c>
      <c r="R17" s="14"/>
      <c r="T17" s="14"/>
      <c r="U17" s="14"/>
      <c r="V17" s="14"/>
    </row>
    <row r="18" spans="2:22" s="10" customFormat="1" ht="30" x14ac:dyDescent="0.25">
      <c r="B18" s="57">
        <v>5</v>
      </c>
      <c r="C18" s="11"/>
      <c r="D18" s="12">
        <v>46118</v>
      </c>
      <c r="E18" s="12">
        <v>46145</v>
      </c>
      <c r="F18" s="57">
        <v>15</v>
      </c>
      <c r="G18" s="13" t="s">
        <v>104</v>
      </c>
      <c r="H18" s="10" t="s">
        <v>109</v>
      </c>
      <c r="I18" s="57">
        <v>1</v>
      </c>
      <c r="J18" s="57" t="s">
        <v>33</v>
      </c>
      <c r="L18" s="57">
        <f t="shared" ref="L18" si="6">F18*I18</f>
        <v>15</v>
      </c>
      <c r="N18" s="57" t="s">
        <v>77</v>
      </c>
      <c r="O18" s="41">
        <v>65</v>
      </c>
      <c r="P18" s="41">
        <f t="shared" ref="P18" si="7">L18*O18</f>
        <v>975</v>
      </c>
      <c r="R18" s="14"/>
      <c r="T18" s="14"/>
      <c r="U18" s="14"/>
      <c r="V18" s="14"/>
    </row>
    <row r="19" spans="2:22" s="10" customFormat="1" ht="30" x14ac:dyDescent="0.25">
      <c r="B19" s="57">
        <v>6</v>
      </c>
      <c r="C19" s="11"/>
      <c r="D19" s="12">
        <v>46118</v>
      </c>
      <c r="E19" s="12">
        <v>46145</v>
      </c>
      <c r="F19" s="57">
        <v>13</v>
      </c>
      <c r="G19" s="13" t="s">
        <v>104</v>
      </c>
      <c r="H19" s="10" t="s">
        <v>110</v>
      </c>
      <c r="I19" s="57">
        <v>1</v>
      </c>
      <c r="J19" s="57" t="s">
        <v>33</v>
      </c>
      <c r="L19" s="57">
        <f>F19*I19</f>
        <v>13</v>
      </c>
      <c r="N19" s="57" t="s">
        <v>77</v>
      </c>
      <c r="O19" s="41">
        <v>65</v>
      </c>
      <c r="P19" s="41">
        <f t="shared" ref="P19" si="8">L19*O19</f>
        <v>845</v>
      </c>
      <c r="R19" s="14"/>
      <c r="T19" s="14"/>
      <c r="U19" s="14"/>
      <c r="V19" s="14"/>
    </row>
    <row r="20" spans="2:22" s="72" customFormat="1" ht="30" x14ac:dyDescent="0.25">
      <c r="B20" s="68">
        <v>7</v>
      </c>
      <c r="C20" s="69"/>
      <c r="D20" s="70">
        <v>46118</v>
      </c>
      <c r="E20" s="70">
        <v>46145</v>
      </c>
      <c r="F20" s="68">
        <v>4</v>
      </c>
      <c r="G20" s="71" t="s">
        <v>104</v>
      </c>
      <c r="H20" s="72" t="s">
        <v>111</v>
      </c>
      <c r="I20" s="68">
        <v>1</v>
      </c>
      <c r="J20" s="68" t="s">
        <v>33</v>
      </c>
      <c r="L20" s="68">
        <f>F20*I20</f>
        <v>4</v>
      </c>
      <c r="N20" s="68" t="s">
        <v>77</v>
      </c>
      <c r="O20" s="73">
        <v>65</v>
      </c>
      <c r="P20" s="73">
        <f>L20*O20</f>
        <v>260</v>
      </c>
      <c r="R20" s="74"/>
      <c r="T20" s="74"/>
      <c r="U20" s="74"/>
      <c r="V20" s="74"/>
    </row>
    <row r="21" spans="2:22" s="72" customFormat="1" ht="30" x14ac:dyDescent="0.25">
      <c r="B21" s="68">
        <v>8</v>
      </c>
      <c r="C21" s="69"/>
      <c r="D21" s="70">
        <v>46111</v>
      </c>
      <c r="E21" s="70">
        <v>46117</v>
      </c>
      <c r="F21" s="68">
        <v>2</v>
      </c>
      <c r="G21" s="71" t="s">
        <v>104</v>
      </c>
      <c r="H21" s="72" t="s">
        <v>112</v>
      </c>
      <c r="I21" s="68">
        <v>1</v>
      </c>
      <c r="J21" s="68" t="s">
        <v>33</v>
      </c>
      <c r="L21" s="68">
        <f t="shared" ref="L21:L23" si="9">F21*I21</f>
        <v>2</v>
      </c>
      <c r="N21" s="68" t="s">
        <v>77</v>
      </c>
      <c r="O21" s="73">
        <v>50</v>
      </c>
      <c r="P21" s="73">
        <f t="shared" ref="P21:P23" si="10">L21*O21</f>
        <v>100</v>
      </c>
      <c r="R21" s="74"/>
      <c r="T21" s="74"/>
      <c r="U21" s="74"/>
      <c r="V21" s="74"/>
    </row>
    <row r="22" spans="2:22" s="72" customFormat="1" ht="30" x14ac:dyDescent="0.25">
      <c r="B22" s="68">
        <v>9</v>
      </c>
      <c r="C22" s="69"/>
      <c r="D22" s="70">
        <v>46111</v>
      </c>
      <c r="E22" s="70">
        <v>46117</v>
      </c>
      <c r="F22" s="68">
        <v>2</v>
      </c>
      <c r="G22" s="71" t="s">
        <v>104</v>
      </c>
      <c r="H22" s="72" t="s">
        <v>100</v>
      </c>
      <c r="I22" s="68">
        <v>1</v>
      </c>
      <c r="J22" s="68" t="s">
        <v>33</v>
      </c>
      <c r="L22" s="68">
        <f t="shared" si="9"/>
        <v>2</v>
      </c>
      <c r="N22" s="68" t="s">
        <v>77</v>
      </c>
      <c r="O22" s="73">
        <v>65</v>
      </c>
      <c r="P22" s="73">
        <f t="shared" si="10"/>
        <v>130</v>
      </c>
      <c r="R22" s="74"/>
      <c r="T22" s="74"/>
      <c r="U22" s="74"/>
      <c r="V22" s="74"/>
    </row>
    <row r="23" spans="2:22" s="72" customFormat="1" x14ac:dyDescent="0.25">
      <c r="B23" s="68">
        <v>10</v>
      </c>
      <c r="C23" s="69"/>
      <c r="D23" s="70">
        <v>46111</v>
      </c>
      <c r="E23" s="70">
        <v>46117</v>
      </c>
      <c r="F23" s="68">
        <v>2</v>
      </c>
      <c r="G23" s="71" t="s">
        <v>104</v>
      </c>
      <c r="H23" s="72" t="s">
        <v>101</v>
      </c>
      <c r="I23" s="68">
        <v>1</v>
      </c>
      <c r="J23" s="68" t="s">
        <v>33</v>
      </c>
      <c r="L23" s="68">
        <f t="shared" si="9"/>
        <v>2</v>
      </c>
      <c r="N23" s="68" t="s">
        <v>77</v>
      </c>
      <c r="O23" s="73">
        <v>65</v>
      </c>
      <c r="P23" s="73">
        <f t="shared" si="10"/>
        <v>130</v>
      </c>
      <c r="R23" s="74"/>
      <c r="T23" s="74"/>
      <c r="U23" s="74"/>
      <c r="V23" s="74"/>
    </row>
    <row r="24" spans="2:22" s="72" customFormat="1" ht="18.75" customHeight="1" x14ac:dyDescent="0.25">
      <c r="B24" s="68">
        <v>11</v>
      </c>
      <c r="C24" s="69"/>
      <c r="D24" s="70">
        <v>46111</v>
      </c>
      <c r="E24" s="70">
        <v>46117</v>
      </c>
      <c r="F24" s="68">
        <v>2</v>
      </c>
      <c r="G24" s="71" t="s">
        <v>104</v>
      </c>
      <c r="H24" s="72" t="s">
        <v>113</v>
      </c>
      <c r="I24" s="68">
        <v>1</v>
      </c>
      <c r="J24" s="68" t="s">
        <v>73</v>
      </c>
      <c r="L24" s="68">
        <f>F24*I24</f>
        <v>2</v>
      </c>
      <c r="N24" s="68" t="s">
        <v>77</v>
      </c>
      <c r="O24" s="73">
        <v>0</v>
      </c>
      <c r="P24" s="73">
        <f>L24*O24</f>
        <v>0</v>
      </c>
      <c r="R24" s="74"/>
      <c r="T24" s="74"/>
      <c r="U24" s="74"/>
      <c r="V24" s="74"/>
    </row>
    <row r="25" spans="2:22" s="72" customFormat="1" ht="30" x14ac:dyDescent="0.25">
      <c r="B25" s="68">
        <v>12</v>
      </c>
      <c r="C25" s="69"/>
      <c r="D25" s="70">
        <v>46111</v>
      </c>
      <c r="E25" s="70">
        <v>46117</v>
      </c>
      <c r="F25" s="68">
        <v>2</v>
      </c>
      <c r="G25" s="71" t="s">
        <v>104</v>
      </c>
      <c r="H25" s="72" t="s">
        <v>102</v>
      </c>
      <c r="I25" s="68">
        <v>1</v>
      </c>
      <c r="J25" s="68" t="s">
        <v>33</v>
      </c>
      <c r="L25" s="68">
        <f t="shared" ref="L25" si="11">F25*I25</f>
        <v>2</v>
      </c>
      <c r="N25" s="68" t="s">
        <v>77</v>
      </c>
      <c r="O25" s="73">
        <v>65</v>
      </c>
      <c r="P25" s="73">
        <f t="shared" ref="P25:P26" si="12">L25*O25</f>
        <v>130</v>
      </c>
      <c r="R25" s="74"/>
      <c r="T25" s="74"/>
      <c r="U25" s="74"/>
      <c r="V25" s="74"/>
    </row>
    <row r="26" spans="2:22" s="72" customFormat="1" ht="30.75" thickBot="1" x14ac:dyDescent="0.3">
      <c r="B26" s="68">
        <v>13</v>
      </c>
      <c r="C26" s="69"/>
      <c r="D26" s="70">
        <v>46111</v>
      </c>
      <c r="E26" s="70">
        <v>46117</v>
      </c>
      <c r="F26" s="68">
        <v>2</v>
      </c>
      <c r="G26" s="71" t="s">
        <v>104</v>
      </c>
      <c r="H26" s="72" t="s">
        <v>114</v>
      </c>
      <c r="I26" s="68">
        <v>1</v>
      </c>
      <c r="J26" s="68" t="s">
        <v>33</v>
      </c>
      <c r="L26" s="68">
        <f>F26*I26</f>
        <v>2</v>
      </c>
      <c r="N26" s="68" t="s">
        <v>77</v>
      </c>
      <c r="O26" s="73">
        <v>65</v>
      </c>
      <c r="P26" s="73">
        <f t="shared" si="12"/>
        <v>130</v>
      </c>
      <c r="R26" s="74"/>
      <c r="T26" s="74"/>
      <c r="U26" s="74"/>
      <c r="V26" s="74"/>
    </row>
    <row r="27" spans="2:22" s="15" customFormat="1" ht="15" customHeight="1" thickTop="1" x14ac:dyDescent="0.25">
      <c r="B27" s="16"/>
      <c r="C27" s="16"/>
      <c r="D27" s="17"/>
      <c r="E27" s="16"/>
      <c r="F27" s="16"/>
      <c r="G27" s="16"/>
      <c r="H27" s="18"/>
      <c r="I27" s="18" t="s">
        <v>52</v>
      </c>
      <c r="J27" s="19"/>
      <c r="K27" s="35"/>
      <c r="L27" s="42">
        <f>SUM(L14:L26)</f>
        <v>94</v>
      </c>
      <c r="M27" s="19"/>
      <c r="N27" s="19" t="s">
        <v>45</v>
      </c>
      <c r="O27" s="19"/>
      <c r="P27" s="20">
        <f>SUM(P14:P26)</f>
        <v>4990</v>
      </c>
      <c r="Q27" s="16"/>
    </row>
    <row r="28" spans="2:22" s="21" customFormat="1" ht="15" customHeight="1" thickBot="1" x14ac:dyDescent="0.3">
      <c r="B28" s="90" t="s">
        <v>42</v>
      </c>
      <c r="C28" s="90"/>
      <c r="D28" s="90"/>
      <c r="E28" s="90"/>
      <c r="F28" s="90"/>
      <c r="G28" s="90"/>
      <c r="H28" s="23"/>
      <c r="I28" s="23" t="s">
        <v>44</v>
      </c>
      <c r="J28" s="24"/>
      <c r="K28" s="36"/>
      <c r="L28" s="39">
        <v>0.15</v>
      </c>
      <c r="M28" s="25"/>
      <c r="N28" s="25"/>
      <c r="O28" s="26"/>
      <c r="P28" s="27">
        <f>-1*(L28*P27)</f>
        <v>-748.5</v>
      </c>
      <c r="Q28" s="28"/>
    </row>
    <row r="29" spans="2:22" s="21" customFormat="1" ht="15" customHeight="1" thickTop="1" thickBot="1" x14ac:dyDescent="0.3">
      <c r="B29" s="77" t="s">
        <v>123</v>
      </c>
      <c r="C29" s="78"/>
      <c r="D29" s="78"/>
      <c r="E29" s="78"/>
      <c r="F29" s="78"/>
      <c r="G29" s="79"/>
      <c r="H29" s="3"/>
      <c r="I29" s="3" t="s">
        <v>53</v>
      </c>
      <c r="J29" s="22"/>
      <c r="K29" s="37"/>
      <c r="L29" s="29"/>
      <c r="M29" s="30"/>
      <c r="N29" s="30"/>
      <c r="O29" s="30"/>
      <c r="P29" s="31">
        <f>SUM(P27:P28)</f>
        <v>4241.5</v>
      </c>
      <c r="Q29" s="22"/>
    </row>
    <row r="30" spans="2:22" s="21" customFormat="1" ht="15" customHeight="1" thickTop="1" x14ac:dyDescent="0.25">
      <c r="B30" s="80"/>
      <c r="C30" s="81"/>
      <c r="D30" s="81"/>
      <c r="E30" s="81"/>
      <c r="F30" s="81"/>
      <c r="G30" s="82"/>
      <c r="I30" s="22"/>
      <c r="J30" s="22"/>
      <c r="K30" s="22"/>
      <c r="L30" s="22"/>
      <c r="M30" s="22"/>
      <c r="N30" s="22"/>
      <c r="O30" s="22"/>
      <c r="P30" s="22"/>
      <c r="Q30" s="22"/>
    </row>
    <row r="31" spans="2:22" s="21" customFormat="1" ht="15" customHeight="1" x14ac:dyDescent="0.25">
      <c r="B31" s="80"/>
      <c r="C31" s="81"/>
      <c r="D31" s="81"/>
      <c r="E31" s="81"/>
      <c r="F31" s="81"/>
      <c r="G31" s="82"/>
      <c r="I31" s="3" t="s">
        <v>47</v>
      </c>
      <c r="J31" s="22"/>
      <c r="K31" s="22"/>
      <c r="L31" s="40"/>
      <c r="M31" s="40"/>
      <c r="N31" s="40"/>
      <c r="O31" s="40"/>
      <c r="P31" s="40"/>
      <c r="Q31" s="22"/>
    </row>
    <row r="32" spans="2:22" s="21" customFormat="1" ht="15" customHeight="1" x14ac:dyDescent="0.25">
      <c r="B32" s="80"/>
      <c r="C32" s="81"/>
      <c r="D32" s="81"/>
      <c r="E32" s="81"/>
      <c r="F32" s="81"/>
      <c r="G32" s="82"/>
      <c r="I32" s="3"/>
      <c r="J32" s="22"/>
      <c r="K32" s="22"/>
      <c r="L32" s="22"/>
      <c r="M32" s="22"/>
      <c r="N32" s="22"/>
      <c r="O32" s="22"/>
      <c r="P32" s="22"/>
      <c r="Q32" s="22"/>
    </row>
    <row r="33" spans="2:17" s="21" customFormat="1" ht="15" customHeight="1" x14ac:dyDescent="0.25">
      <c r="B33" s="80"/>
      <c r="C33" s="81"/>
      <c r="D33" s="81"/>
      <c r="E33" s="81"/>
      <c r="F33" s="81"/>
      <c r="G33" s="82"/>
      <c r="I33" s="3" t="s">
        <v>46</v>
      </c>
      <c r="J33" s="22"/>
      <c r="K33" s="22"/>
      <c r="L33" s="40"/>
      <c r="M33" s="40"/>
      <c r="N33" s="40"/>
      <c r="O33" s="40"/>
      <c r="P33" s="40"/>
      <c r="Q33" s="22"/>
    </row>
    <row r="34" spans="2:17" s="21" customFormat="1" ht="15" customHeight="1" x14ac:dyDescent="0.25">
      <c r="B34" s="83"/>
      <c r="C34" s="84"/>
      <c r="D34" s="84"/>
      <c r="E34" s="84"/>
      <c r="F34" s="84"/>
      <c r="G34" s="85"/>
      <c r="I34" s="34"/>
      <c r="J34" s="34"/>
      <c r="K34" s="34"/>
      <c r="L34" s="34"/>
      <c r="M34" s="34"/>
      <c r="N34" s="34"/>
      <c r="O34" s="34"/>
      <c r="P34" s="34"/>
      <c r="Q34" s="22"/>
    </row>
    <row r="35" spans="2:17" s="21" customFormat="1" ht="15" customHeight="1" x14ac:dyDescent="0.25">
      <c r="I35" s="34"/>
      <c r="J35" s="34"/>
      <c r="K35" s="34"/>
      <c r="L35" s="34"/>
      <c r="M35" s="34"/>
      <c r="N35" s="34"/>
      <c r="O35" s="34"/>
      <c r="P35" s="34"/>
      <c r="Q35" s="22"/>
    </row>
    <row r="36" spans="2:17" s="21" customFormat="1" ht="15" customHeight="1" x14ac:dyDescent="0.25">
      <c r="B36" s="86" t="s">
        <v>60</v>
      </c>
      <c r="C36" s="86"/>
      <c r="D36" s="86"/>
      <c r="E36" s="44"/>
      <c r="F36" s="44"/>
      <c r="G36" s="44"/>
      <c r="I36" s="34"/>
      <c r="J36" s="34"/>
      <c r="K36" s="34"/>
      <c r="L36" s="34"/>
      <c r="M36" s="34"/>
      <c r="N36" s="34"/>
      <c r="O36" s="34"/>
      <c r="P36" s="34"/>
      <c r="Q36" s="22"/>
    </row>
    <row r="37" spans="2:17" s="21" customFormat="1" ht="15" customHeight="1" x14ac:dyDescent="0.25">
      <c r="B37" s="1"/>
      <c r="C37" s="1"/>
      <c r="D37" s="1"/>
      <c r="E37" s="44"/>
      <c r="F37" s="44"/>
      <c r="G37" s="44"/>
      <c r="I37" s="34"/>
      <c r="J37" s="34"/>
      <c r="K37" s="34"/>
      <c r="L37" s="34"/>
      <c r="M37" s="34"/>
      <c r="N37" s="34"/>
      <c r="O37" s="34"/>
      <c r="P37" s="34"/>
      <c r="Q37" s="22"/>
    </row>
    <row r="38" spans="2:17" s="21" customFormat="1" ht="15" customHeight="1" x14ac:dyDescent="0.25">
      <c r="B38" s="1" t="s">
        <v>62</v>
      </c>
      <c r="C38" s="1"/>
      <c r="D38" s="1" t="s">
        <v>63</v>
      </c>
      <c r="E38" s="1" t="s">
        <v>64</v>
      </c>
      <c r="F38" s="1"/>
      <c r="G38" s="1"/>
      <c r="I38" s="34"/>
      <c r="J38" s="34"/>
      <c r="K38" s="34"/>
      <c r="L38" s="34"/>
      <c r="M38" s="34"/>
      <c r="N38" s="34"/>
      <c r="O38" s="34"/>
      <c r="P38" s="34"/>
      <c r="Q38" s="22"/>
    </row>
    <row r="39" spans="2:17" s="21" customFormat="1" x14ac:dyDescent="0.25">
      <c r="B39" s="21" t="s">
        <v>120</v>
      </c>
      <c r="D39" s="75">
        <v>3605</v>
      </c>
      <c r="E39" s="76">
        <f>D39*0.85</f>
        <v>3064.25</v>
      </c>
      <c r="I39" s="34"/>
      <c r="J39" s="34"/>
      <c r="K39" s="34"/>
      <c r="L39" s="34"/>
      <c r="M39" s="34"/>
      <c r="N39" s="34"/>
      <c r="O39" s="34"/>
      <c r="P39" s="34"/>
      <c r="Q39" s="22"/>
    </row>
    <row r="40" spans="2:17" s="21" customFormat="1" ht="15.75" thickBot="1" x14ac:dyDescent="0.3">
      <c r="B40" s="45" t="s">
        <v>124</v>
      </c>
      <c r="C40" s="45"/>
      <c r="D40" s="46">
        <v>1385</v>
      </c>
      <c r="E40" s="48">
        <f>D40*0.85</f>
        <v>1177.25</v>
      </c>
      <c r="I40" s="34"/>
      <c r="J40" s="34"/>
      <c r="K40" s="34"/>
      <c r="L40" s="34"/>
      <c r="M40" s="34"/>
      <c r="N40" s="34"/>
      <c r="O40" s="34"/>
      <c r="P40" s="34"/>
      <c r="Q40" s="22"/>
    </row>
    <row r="41" spans="2:17" s="21" customFormat="1" ht="15" customHeight="1" thickTop="1" x14ac:dyDescent="0.25">
      <c r="B41" s="49" t="s">
        <v>61</v>
      </c>
      <c r="C41" s="22"/>
      <c r="D41" s="47">
        <f>SUM(D39:D40)</f>
        <v>4990</v>
      </c>
      <c r="E41" s="50">
        <f>SUM(E39:E40)</f>
        <v>4241.5</v>
      </c>
      <c r="F41" s="22"/>
      <c r="G41" s="22"/>
      <c r="I41" s="22"/>
      <c r="J41" s="22"/>
      <c r="K41" s="22"/>
      <c r="L41" s="22"/>
      <c r="M41" s="22"/>
      <c r="N41" s="22"/>
      <c r="O41" s="22"/>
      <c r="P41" s="22"/>
      <c r="Q41" s="22"/>
    </row>
    <row r="42" spans="2:17" s="21" customFormat="1" ht="15" customHeight="1" x14ac:dyDescent="0.25">
      <c r="B42" s="22"/>
      <c r="C42" s="22"/>
      <c r="D42" s="22"/>
      <c r="E42" s="22"/>
      <c r="F42" s="22"/>
      <c r="G42" s="22"/>
      <c r="I42" s="22"/>
      <c r="J42" s="22"/>
      <c r="K42" s="22"/>
      <c r="L42" s="22"/>
      <c r="M42" s="22"/>
      <c r="N42" s="22"/>
      <c r="O42" s="22"/>
      <c r="P42" s="22"/>
      <c r="Q42" s="22"/>
    </row>
    <row r="43" spans="2:17" s="21" customFormat="1" ht="15" customHeight="1" x14ac:dyDescent="0.25">
      <c r="B43" s="22"/>
      <c r="C43" s="22"/>
      <c r="D43" s="22"/>
      <c r="E43" s="22"/>
      <c r="F43" s="22"/>
      <c r="G43" s="22"/>
      <c r="I43" s="22"/>
      <c r="J43" s="22"/>
      <c r="K43" s="22"/>
      <c r="L43" s="22"/>
      <c r="M43" s="22"/>
      <c r="N43" s="22"/>
      <c r="O43" s="22"/>
      <c r="P43" s="22"/>
      <c r="Q43" s="22"/>
    </row>
    <row r="44" spans="2:17" s="21" customFormat="1" ht="15" customHeight="1" x14ac:dyDescent="0.25">
      <c r="B44" s="22"/>
      <c r="C44" s="22"/>
      <c r="D44" s="22"/>
      <c r="E44" s="22"/>
      <c r="F44" s="22"/>
      <c r="G44" s="22"/>
      <c r="I44" s="22"/>
      <c r="J44" s="22"/>
      <c r="K44" s="22"/>
      <c r="L44" s="22"/>
      <c r="M44" s="22"/>
      <c r="N44" s="22"/>
      <c r="O44" s="22"/>
      <c r="P44" s="22"/>
      <c r="Q44" s="22"/>
    </row>
  </sheetData>
  <dataConsolidate function="count">
    <dataRefs count="1">
      <dataRef ref="H13:H94" sheet="AdAsia-C" r:id="rId1"/>
    </dataRefs>
  </dataConsolidate>
  <mergeCells count="16">
    <mergeCell ref="B29:G34"/>
    <mergeCell ref="B36:D36"/>
    <mergeCell ref="F1:L1"/>
    <mergeCell ref="D3:G3"/>
    <mergeCell ref="L3:Q3"/>
    <mergeCell ref="D4:G4"/>
    <mergeCell ref="L4:Q4"/>
    <mergeCell ref="D6:E6"/>
    <mergeCell ref="L5:Q5"/>
    <mergeCell ref="B28:G28"/>
    <mergeCell ref="K11:Q11"/>
    <mergeCell ref="L8:Q8"/>
    <mergeCell ref="D8:G8"/>
    <mergeCell ref="L6:Q6"/>
    <mergeCell ref="D9:G9"/>
    <mergeCell ref="D10:G10"/>
  </mergeCells>
  <phoneticPr fontId="0" type="noConversion"/>
  <hyperlinks>
    <hyperlink ref="D10" r:id="rId2" xr:uid="{00000000-0004-0000-0000-000000000000}"/>
  </hyperlinks>
  <pageMargins left="0.7" right="0.7" top="0.75" bottom="0.75" header="0.3" footer="0.3"/>
  <pageSetup scale="82" fitToHeight="100" orientation="landscape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95"/>
  <sheetViews>
    <sheetView workbookViewId="0">
      <pane ySplit="1" topLeftCell="A2" activePane="bottomLeft" state="frozen"/>
      <selection activeCell="M1" sqref="M1"/>
      <selection pane="bottomLeft" activeCell="A2" sqref="A2:XFD95"/>
    </sheetView>
  </sheetViews>
  <sheetFormatPr defaultRowHeight="15" x14ac:dyDescent="0.25"/>
  <cols>
    <col min="1" max="1" width="11.7109375" customWidth="1"/>
    <col min="2" max="2" width="8.7109375" bestFit="1" customWidth="1"/>
    <col min="3" max="3" width="8.85546875" bestFit="1" customWidth="1"/>
    <col min="4" max="4" width="10.42578125" customWidth="1"/>
    <col min="5" max="6" width="9.140625" bestFit="1" customWidth="1"/>
    <col min="7" max="7" width="7.140625" bestFit="1" customWidth="1"/>
    <col min="8" max="8" width="42.140625" customWidth="1"/>
    <col min="9" max="9" width="27.7109375" customWidth="1"/>
    <col min="10" max="10" width="5.5703125" bestFit="1" customWidth="1"/>
    <col min="11" max="11" width="7.28515625" bestFit="1" customWidth="1"/>
    <col min="12" max="12" width="5" bestFit="1" customWidth="1"/>
    <col min="13" max="13" width="11.140625" bestFit="1" customWidth="1"/>
    <col min="14" max="14" width="5.28515625" bestFit="1" customWidth="1"/>
    <col min="15" max="15" width="13.28515625" bestFit="1" customWidth="1"/>
    <col min="16" max="16" width="12.5703125" customWidth="1"/>
    <col min="17" max="17" width="11.28515625" bestFit="1" customWidth="1"/>
    <col min="18" max="18" width="11" bestFit="1" customWidth="1"/>
    <col min="19" max="19" width="13.7109375" style="53" bestFit="1" customWidth="1"/>
    <col min="20" max="20" width="11.85546875" bestFit="1" customWidth="1"/>
    <col min="21" max="21" width="30" style="59" bestFit="1" customWidth="1"/>
    <col min="22" max="22" width="11.5703125" bestFit="1" customWidth="1"/>
    <col min="23" max="23" width="14.42578125" bestFit="1" customWidth="1"/>
    <col min="24" max="24" width="13.7109375" bestFit="1" customWidth="1"/>
    <col min="25" max="25" width="11.28515625" bestFit="1" customWidth="1"/>
    <col min="26" max="26" width="11.85546875" bestFit="1" customWidth="1"/>
    <col min="27" max="27" width="9.7109375" bestFit="1" customWidth="1"/>
    <col min="28" max="28" width="9.5703125" bestFit="1" customWidth="1"/>
    <col min="29" max="29" width="7.42578125" bestFit="1" customWidth="1"/>
  </cols>
  <sheetData>
    <row r="1" spans="1:29" s="5" customFormat="1" ht="20.25" customHeight="1" x14ac:dyDescent="0.25">
      <c r="A1" s="5" t="s">
        <v>12</v>
      </c>
      <c r="B1" s="6" t="s">
        <v>13</v>
      </c>
      <c r="C1" s="6" t="s">
        <v>14</v>
      </c>
      <c r="D1" s="5" t="s">
        <v>15</v>
      </c>
      <c r="E1" s="7" t="s">
        <v>16</v>
      </c>
      <c r="F1" s="7" t="s">
        <v>17</v>
      </c>
      <c r="G1" s="7" t="s">
        <v>18</v>
      </c>
      <c r="H1" s="8" t="s">
        <v>19</v>
      </c>
      <c r="I1" s="7" t="s">
        <v>49</v>
      </c>
      <c r="J1" s="5" t="s">
        <v>20</v>
      </c>
      <c r="K1" s="5" t="s">
        <v>21</v>
      </c>
      <c r="L1" s="5" t="s">
        <v>22</v>
      </c>
      <c r="M1" s="5" t="s">
        <v>65</v>
      </c>
      <c r="N1" s="5" t="s">
        <v>23</v>
      </c>
      <c r="O1" s="5" t="s">
        <v>4</v>
      </c>
      <c r="P1" s="9" t="s">
        <v>43</v>
      </c>
      <c r="Q1" s="5" t="s">
        <v>24</v>
      </c>
      <c r="R1" s="9" t="s">
        <v>25</v>
      </c>
      <c r="S1" s="52" t="s">
        <v>62</v>
      </c>
      <c r="T1" s="9" t="s">
        <v>26</v>
      </c>
      <c r="U1" s="58" t="s">
        <v>76</v>
      </c>
      <c r="V1" s="9" t="s">
        <v>27</v>
      </c>
      <c r="W1" s="5" t="s">
        <v>28</v>
      </c>
      <c r="X1" s="5" t="s">
        <v>29</v>
      </c>
      <c r="Y1" s="5" t="s">
        <v>5</v>
      </c>
      <c r="Z1" s="5" t="s">
        <v>30</v>
      </c>
      <c r="AA1" s="5" t="s">
        <v>31</v>
      </c>
      <c r="AB1" s="58" t="s">
        <v>80</v>
      </c>
      <c r="AC1" s="5" t="s">
        <v>8</v>
      </c>
    </row>
    <row r="2" spans="1:29" s="10" customFormat="1" ht="15" customHeight="1" x14ac:dyDescent="0.25">
      <c r="A2" t="s">
        <v>85</v>
      </c>
      <c r="B2" s="60">
        <v>46132</v>
      </c>
      <c r="C2" s="43">
        <f t="shared" ref="C2:C65" si="0">B2</f>
        <v>46132</v>
      </c>
      <c r="D2" s="61" t="str">
        <f t="shared" ref="D2:D65" si="1">TEXT(B2,"dddd")</f>
        <v>Monday</v>
      </c>
      <c r="E2" s="62">
        <v>0.54166666666666663</v>
      </c>
      <c r="F2" s="62">
        <v>0.58333333333333337</v>
      </c>
      <c r="G2" s="62">
        <v>3.4722222222222218E-4</v>
      </c>
      <c r="H2" t="s">
        <v>125</v>
      </c>
      <c r="I2" s="63" t="s">
        <v>83</v>
      </c>
      <c r="J2" t="s">
        <v>86</v>
      </c>
      <c r="L2">
        <v>1</v>
      </c>
      <c r="M2">
        <v>72927</v>
      </c>
      <c r="N2" t="s">
        <v>33</v>
      </c>
      <c r="O2" t="s">
        <v>126</v>
      </c>
      <c r="P2" s="64">
        <v>50</v>
      </c>
      <c r="R2" s="64">
        <f t="shared" ref="R2:R65" si="2">P2</f>
        <v>50</v>
      </c>
      <c r="S2" s="65">
        <v>46113</v>
      </c>
      <c r="T2" s="64">
        <f t="shared" ref="T2:T65" si="3">P2*0.15</f>
        <v>7.5</v>
      </c>
      <c r="U2" s="66">
        <v>4</v>
      </c>
      <c r="V2" s="64">
        <f t="shared" ref="V2:V65" si="4">P2-T2</f>
        <v>42.5</v>
      </c>
      <c r="W2" t="s">
        <v>66</v>
      </c>
      <c r="X2" t="s">
        <v>79</v>
      </c>
      <c r="Y2" t="s">
        <v>6</v>
      </c>
      <c r="Z2" t="s">
        <v>57</v>
      </c>
      <c r="AA2" t="s">
        <v>32</v>
      </c>
      <c r="AB2" s="66" t="s">
        <v>127</v>
      </c>
      <c r="AC2" t="s">
        <v>72</v>
      </c>
    </row>
    <row r="3" spans="1:29" s="10" customFormat="1" ht="15" customHeight="1" x14ac:dyDescent="0.25">
      <c r="A3" t="s">
        <v>85</v>
      </c>
      <c r="B3" s="60">
        <v>46133</v>
      </c>
      <c r="C3" s="43">
        <f t="shared" si="0"/>
        <v>46133</v>
      </c>
      <c r="D3" s="61" t="str">
        <f t="shared" si="1"/>
        <v>Tuesday</v>
      </c>
      <c r="E3" s="62">
        <v>0.54166666666666663</v>
      </c>
      <c r="F3" s="62">
        <v>0.58333333333333337</v>
      </c>
      <c r="G3" s="62">
        <v>3.4722222222222218E-4</v>
      </c>
      <c r="H3" t="s">
        <v>125</v>
      </c>
      <c r="I3" s="63" t="s">
        <v>83</v>
      </c>
      <c r="J3" t="s">
        <v>86</v>
      </c>
      <c r="L3">
        <v>1</v>
      </c>
      <c r="M3">
        <v>72927</v>
      </c>
      <c r="N3" t="s">
        <v>33</v>
      </c>
      <c r="O3" t="s">
        <v>126</v>
      </c>
      <c r="P3" s="64">
        <v>50</v>
      </c>
      <c r="R3" s="64">
        <f t="shared" si="2"/>
        <v>50</v>
      </c>
      <c r="S3" s="65">
        <v>46113</v>
      </c>
      <c r="T3" s="64">
        <f t="shared" si="3"/>
        <v>7.5</v>
      </c>
      <c r="U3" s="66">
        <v>4</v>
      </c>
      <c r="V3" s="64">
        <f t="shared" si="4"/>
        <v>42.5</v>
      </c>
      <c r="W3" t="s">
        <v>66</v>
      </c>
      <c r="X3" t="s">
        <v>79</v>
      </c>
      <c r="Y3" t="s">
        <v>6</v>
      </c>
      <c r="Z3" t="s">
        <v>57</v>
      </c>
      <c r="AA3" t="s">
        <v>32</v>
      </c>
      <c r="AB3" s="66" t="s">
        <v>127</v>
      </c>
      <c r="AC3" t="s">
        <v>72</v>
      </c>
    </row>
    <row r="4" spans="1:29" s="10" customFormat="1" ht="15" customHeight="1" x14ac:dyDescent="0.25">
      <c r="A4" t="s">
        <v>85</v>
      </c>
      <c r="B4" s="60">
        <v>46125</v>
      </c>
      <c r="C4" s="43">
        <f t="shared" si="0"/>
        <v>46125</v>
      </c>
      <c r="D4" s="61" t="str">
        <f t="shared" si="1"/>
        <v>Monday</v>
      </c>
      <c r="E4" s="62">
        <v>0.54166666666666663</v>
      </c>
      <c r="F4" s="62">
        <v>0.58333333333333337</v>
      </c>
      <c r="G4" s="62">
        <v>3.4722222222222218E-4</v>
      </c>
      <c r="H4" t="s">
        <v>125</v>
      </c>
      <c r="I4" s="63" t="s">
        <v>90</v>
      </c>
      <c r="J4" t="s">
        <v>86</v>
      </c>
      <c r="L4">
        <v>1</v>
      </c>
      <c r="M4">
        <v>72927</v>
      </c>
      <c r="N4" t="s">
        <v>33</v>
      </c>
      <c r="O4" t="s">
        <v>126</v>
      </c>
      <c r="P4" s="64">
        <v>50</v>
      </c>
      <c r="R4" s="64">
        <f t="shared" si="2"/>
        <v>50</v>
      </c>
      <c r="S4" s="65">
        <v>46113</v>
      </c>
      <c r="T4" s="64">
        <f t="shared" si="3"/>
        <v>7.5</v>
      </c>
      <c r="U4" s="66">
        <v>4</v>
      </c>
      <c r="V4" s="64">
        <f t="shared" si="4"/>
        <v>42.5</v>
      </c>
      <c r="W4" t="s">
        <v>66</v>
      </c>
      <c r="X4" t="s">
        <v>79</v>
      </c>
      <c r="Y4" t="s">
        <v>6</v>
      </c>
      <c r="Z4" t="s">
        <v>57</v>
      </c>
      <c r="AA4" t="s">
        <v>32</v>
      </c>
      <c r="AB4" s="66" t="s">
        <v>127</v>
      </c>
      <c r="AC4" t="s">
        <v>72</v>
      </c>
    </row>
    <row r="5" spans="1:29" x14ac:dyDescent="0.25">
      <c r="A5" t="s">
        <v>85</v>
      </c>
      <c r="B5" s="60">
        <v>46143</v>
      </c>
      <c r="C5" s="43">
        <f t="shared" si="0"/>
        <v>46143</v>
      </c>
      <c r="D5" s="61" t="str">
        <f t="shared" si="1"/>
        <v>Friday</v>
      </c>
      <c r="E5" s="62">
        <v>0.54166666666666663</v>
      </c>
      <c r="F5" s="62">
        <v>0.58333333333333337</v>
      </c>
      <c r="G5" s="62">
        <v>3.4722222222222218E-4</v>
      </c>
      <c r="H5" t="s">
        <v>125</v>
      </c>
      <c r="I5" s="63" t="s">
        <v>90</v>
      </c>
      <c r="J5" t="s">
        <v>86</v>
      </c>
      <c r="L5">
        <v>1</v>
      </c>
      <c r="M5">
        <v>72927</v>
      </c>
      <c r="N5" t="s">
        <v>33</v>
      </c>
      <c r="O5" t="s">
        <v>126</v>
      </c>
      <c r="P5" s="67">
        <v>50</v>
      </c>
      <c r="R5" s="67">
        <f t="shared" si="2"/>
        <v>50</v>
      </c>
      <c r="S5" s="65">
        <v>46143</v>
      </c>
      <c r="T5" s="67">
        <f t="shared" si="3"/>
        <v>7.5</v>
      </c>
      <c r="U5" s="66">
        <v>4</v>
      </c>
      <c r="V5" s="67">
        <f t="shared" si="4"/>
        <v>42.5</v>
      </c>
      <c r="W5" t="s">
        <v>66</v>
      </c>
      <c r="X5" t="s">
        <v>79</v>
      </c>
      <c r="Y5" t="s">
        <v>6</v>
      </c>
      <c r="Z5" t="s">
        <v>57</v>
      </c>
      <c r="AA5" t="s">
        <v>32</v>
      </c>
      <c r="AB5" s="66" t="s">
        <v>127</v>
      </c>
      <c r="AC5" t="s">
        <v>72</v>
      </c>
    </row>
    <row r="6" spans="1:29" x14ac:dyDescent="0.25">
      <c r="A6" t="s">
        <v>85</v>
      </c>
      <c r="B6" s="60">
        <v>46118</v>
      </c>
      <c r="C6" s="43">
        <f t="shared" si="0"/>
        <v>46118</v>
      </c>
      <c r="D6" s="61" t="str">
        <f t="shared" si="1"/>
        <v>Monday</v>
      </c>
      <c r="E6" s="62">
        <v>0.54166666666666663</v>
      </c>
      <c r="F6" s="62">
        <v>0.58333333333333337</v>
      </c>
      <c r="G6" s="62">
        <v>3.4722222222222218E-4</v>
      </c>
      <c r="H6" t="s">
        <v>125</v>
      </c>
      <c r="I6" s="63" t="s">
        <v>115</v>
      </c>
      <c r="J6" t="s">
        <v>86</v>
      </c>
      <c r="L6">
        <v>1</v>
      </c>
      <c r="M6">
        <v>72927</v>
      </c>
      <c r="N6" t="s">
        <v>33</v>
      </c>
      <c r="O6" t="s">
        <v>126</v>
      </c>
      <c r="P6" s="67">
        <v>50</v>
      </c>
      <c r="R6" s="67">
        <f t="shared" si="2"/>
        <v>50</v>
      </c>
      <c r="S6" s="65">
        <v>46113</v>
      </c>
      <c r="T6" s="67">
        <f t="shared" si="3"/>
        <v>7.5</v>
      </c>
      <c r="U6" s="66">
        <v>4</v>
      </c>
      <c r="V6" s="67">
        <f t="shared" si="4"/>
        <v>42.5</v>
      </c>
      <c r="W6" t="s">
        <v>66</v>
      </c>
      <c r="X6" t="s">
        <v>79</v>
      </c>
      <c r="Y6" t="s">
        <v>6</v>
      </c>
      <c r="Z6" t="s">
        <v>57</v>
      </c>
      <c r="AA6" t="s">
        <v>32</v>
      </c>
      <c r="AB6" s="66" t="s">
        <v>127</v>
      </c>
      <c r="AC6" t="s">
        <v>72</v>
      </c>
    </row>
    <row r="7" spans="1:29" x14ac:dyDescent="0.25">
      <c r="A7" t="s">
        <v>85</v>
      </c>
      <c r="B7" s="60">
        <v>46119</v>
      </c>
      <c r="C7" s="43">
        <f t="shared" si="0"/>
        <v>46119</v>
      </c>
      <c r="D7" s="61" t="str">
        <f t="shared" si="1"/>
        <v>Tuesday</v>
      </c>
      <c r="E7" s="62">
        <v>0.54166666666666663</v>
      </c>
      <c r="F7" s="62">
        <v>0.58333333333333337</v>
      </c>
      <c r="G7" s="62">
        <v>3.4722222222222218E-4</v>
      </c>
      <c r="H7" t="s">
        <v>125</v>
      </c>
      <c r="I7" s="63" t="s">
        <v>115</v>
      </c>
      <c r="J7" t="s">
        <v>86</v>
      </c>
      <c r="L7">
        <v>1</v>
      </c>
      <c r="M7">
        <v>72927</v>
      </c>
      <c r="N7" t="s">
        <v>33</v>
      </c>
      <c r="O7" t="s">
        <v>126</v>
      </c>
      <c r="P7" s="67">
        <v>50</v>
      </c>
      <c r="R7" s="67">
        <f t="shared" si="2"/>
        <v>50</v>
      </c>
      <c r="S7" s="65">
        <v>46113</v>
      </c>
      <c r="T7" s="67">
        <f t="shared" si="3"/>
        <v>7.5</v>
      </c>
      <c r="U7" s="66">
        <v>4</v>
      </c>
      <c r="V7" s="67">
        <f t="shared" si="4"/>
        <v>42.5</v>
      </c>
      <c r="W7" t="s">
        <v>66</v>
      </c>
      <c r="X7" t="s">
        <v>79</v>
      </c>
      <c r="Y7" t="s">
        <v>6</v>
      </c>
      <c r="Z7" t="s">
        <v>57</v>
      </c>
      <c r="AA7" t="s">
        <v>32</v>
      </c>
      <c r="AB7" s="66" t="s">
        <v>127</v>
      </c>
      <c r="AC7" t="s">
        <v>72</v>
      </c>
    </row>
    <row r="8" spans="1:29" x14ac:dyDescent="0.25">
      <c r="A8" t="s">
        <v>85</v>
      </c>
      <c r="B8" s="60">
        <v>46129</v>
      </c>
      <c r="C8" s="43">
        <f t="shared" si="0"/>
        <v>46129</v>
      </c>
      <c r="D8" s="61" t="str">
        <f t="shared" si="1"/>
        <v>Friday</v>
      </c>
      <c r="E8" s="62">
        <v>0.54166666666666663</v>
      </c>
      <c r="F8" s="62">
        <v>0.58333333333333337</v>
      </c>
      <c r="G8" s="62">
        <v>3.4722222222222218E-4</v>
      </c>
      <c r="H8" t="s">
        <v>125</v>
      </c>
      <c r="I8" s="63" t="s">
        <v>81</v>
      </c>
      <c r="J8" t="s">
        <v>86</v>
      </c>
      <c r="L8">
        <v>1</v>
      </c>
      <c r="M8">
        <v>72927</v>
      </c>
      <c r="N8" t="s">
        <v>33</v>
      </c>
      <c r="O8" t="s">
        <v>126</v>
      </c>
      <c r="P8" s="67">
        <v>50</v>
      </c>
      <c r="R8" s="67">
        <f t="shared" si="2"/>
        <v>50</v>
      </c>
      <c r="S8" s="65">
        <v>46113</v>
      </c>
      <c r="T8" s="67">
        <f t="shared" si="3"/>
        <v>7.5</v>
      </c>
      <c r="U8" s="66">
        <v>4</v>
      </c>
      <c r="V8" s="67">
        <f t="shared" si="4"/>
        <v>42.5</v>
      </c>
      <c r="W8" t="s">
        <v>66</v>
      </c>
      <c r="X8" t="s">
        <v>79</v>
      </c>
      <c r="Y8" t="s">
        <v>6</v>
      </c>
      <c r="Z8" t="s">
        <v>57</v>
      </c>
      <c r="AA8" t="s">
        <v>32</v>
      </c>
      <c r="AB8" s="66" t="s">
        <v>127</v>
      </c>
      <c r="AC8" t="s">
        <v>72</v>
      </c>
    </row>
    <row r="9" spans="1:29" x14ac:dyDescent="0.25">
      <c r="A9" t="s">
        <v>85</v>
      </c>
      <c r="B9" s="60">
        <v>46134</v>
      </c>
      <c r="C9" s="43">
        <f t="shared" si="0"/>
        <v>46134</v>
      </c>
      <c r="D9" s="61" t="str">
        <f t="shared" si="1"/>
        <v>Wednesday</v>
      </c>
      <c r="E9" s="62">
        <v>0.54166666666666663</v>
      </c>
      <c r="F9" s="62">
        <v>0.58333333333333337</v>
      </c>
      <c r="G9" s="62">
        <v>3.4722222222222218E-4</v>
      </c>
      <c r="H9" t="s">
        <v>125</v>
      </c>
      <c r="I9" s="63" t="s">
        <v>81</v>
      </c>
      <c r="J9" t="s">
        <v>86</v>
      </c>
      <c r="L9">
        <v>1</v>
      </c>
      <c r="M9">
        <v>72927</v>
      </c>
      <c r="N9" t="s">
        <v>33</v>
      </c>
      <c r="O9" t="s">
        <v>126</v>
      </c>
      <c r="P9" s="67">
        <v>50</v>
      </c>
      <c r="R9" s="67">
        <f t="shared" si="2"/>
        <v>50</v>
      </c>
      <c r="S9" s="65">
        <v>46113</v>
      </c>
      <c r="T9" s="67">
        <f t="shared" si="3"/>
        <v>7.5</v>
      </c>
      <c r="U9" s="66">
        <v>4</v>
      </c>
      <c r="V9" s="67">
        <f t="shared" si="4"/>
        <v>42.5</v>
      </c>
      <c r="W9" t="s">
        <v>66</v>
      </c>
      <c r="X9" t="s">
        <v>79</v>
      </c>
      <c r="Y9" t="s">
        <v>6</v>
      </c>
      <c r="Z9" t="s">
        <v>57</v>
      </c>
      <c r="AA9" t="s">
        <v>32</v>
      </c>
      <c r="AB9" s="66" t="s">
        <v>127</v>
      </c>
      <c r="AC9" t="s">
        <v>72</v>
      </c>
    </row>
    <row r="10" spans="1:29" x14ac:dyDescent="0.25">
      <c r="A10" t="s">
        <v>85</v>
      </c>
      <c r="B10" s="60">
        <v>46139</v>
      </c>
      <c r="C10" s="43">
        <f t="shared" si="0"/>
        <v>46139</v>
      </c>
      <c r="D10" s="61" t="str">
        <f t="shared" si="1"/>
        <v>Monday</v>
      </c>
      <c r="E10" s="62">
        <v>0.54166666666666663</v>
      </c>
      <c r="F10" s="62">
        <v>0.58333333333333337</v>
      </c>
      <c r="G10" s="62">
        <v>3.4722222222222218E-4</v>
      </c>
      <c r="H10" t="s">
        <v>125</v>
      </c>
      <c r="I10" s="63" t="s">
        <v>103</v>
      </c>
      <c r="J10" t="s">
        <v>86</v>
      </c>
      <c r="L10">
        <v>1</v>
      </c>
      <c r="M10">
        <v>72927</v>
      </c>
      <c r="N10" t="s">
        <v>33</v>
      </c>
      <c r="O10" t="s">
        <v>126</v>
      </c>
      <c r="P10" s="67">
        <v>50</v>
      </c>
      <c r="R10" s="67">
        <f t="shared" si="2"/>
        <v>50</v>
      </c>
      <c r="S10" s="65">
        <v>46143</v>
      </c>
      <c r="T10" s="67">
        <f t="shared" si="3"/>
        <v>7.5</v>
      </c>
      <c r="U10" s="66">
        <v>4</v>
      </c>
      <c r="V10" s="67">
        <f t="shared" si="4"/>
        <v>42.5</v>
      </c>
      <c r="W10" t="s">
        <v>66</v>
      </c>
      <c r="X10" t="s">
        <v>79</v>
      </c>
      <c r="Y10" t="s">
        <v>6</v>
      </c>
      <c r="Z10" t="s">
        <v>57</v>
      </c>
      <c r="AA10" t="s">
        <v>32</v>
      </c>
      <c r="AB10" s="66" t="s">
        <v>127</v>
      </c>
      <c r="AC10" t="s">
        <v>72</v>
      </c>
    </row>
    <row r="11" spans="1:29" x14ac:dyDescent="0.25">
      <c r="A11" t="s">
        <v>85</v>
      </c>
      <c r="B11" s="60">
        <v>46142</v>
      </c>
      <c r="C11" s="43">
        <f t="shared" si="0"/>
        <v>46142</v>
      </c>
      <c r="D11" s="61" t="str">
        <f t="shared" si="1"/>
        <v>Thursday</v>
      </c>
      <c r="E11" s="62">
        <v>0.54166666666666663</v>
      </c>
      <c r="F11" s="62">
        <v>0.58333333333333337</v>
      </c>
      <c r="G11" s="62">
        <v>3.4722222222222218E-4</v>
      </c>
      <c r="H11" t="s">
        <v>125</v>
      </c>
      <c r="I11" s="63" t="s">
        <v>103</v>
      </c>
      <c r="J11" t="s">
        <v>86</v>
      </c>
      <c r="L11">
        <v>1</v>
      </c>
      <c r="M11">
        <v>72927</v>
      </c>
      <c r="N11" t="s">
        <v>33</v>
      </c>
      <c r="O11" t="s">
        <v>126</v>
      </c>
      <c r="P11" s="67">
        <v>50</v>
      </c>
      <c r="R11" s="67">
        <f t="shared" si="2"/>
        <v>50</v>
      </c>
      <c r="S11" s="65">
        <v>46143</v>
      </c>
      <c r="T11" s="67">
        <f t="shared" si="3"/>
        <v>7.5</v>
      </c>
      <c r="U11" s="66">
        <v>4</v>
      </c>
      <c r="V11" s="67">
        <f t="shared" si="4"/>
        <v>42.5</v>
      </c>
      <c r="W11" t="s">
        <v>66</v>
      </c>
      <c r="X11" t="s">
        <v>79</v>
      </c>
      <c r="Y11" t="s">
        <v>6</v>
      </c>
      <c r="Z11" t="s">
        <v>57</v>
      </c>
      <c r="AA11" t="s">
        <v>32</v>
      </c>
      <c r="AB11" s="66" t="s">
        <v>127</v>
      </c>
      <c r="AC11" t="s">
        <v>72</v>
      </c>
    </row>
    <row r="12" spans="1:29" x14ac:dyDescent="0.25">
      <c r="A12" t="s">
        <v>85</v>
      </c>
      <c r="B12" s="60">
        <v>46120</v>
      </c>
      <c r="C12" s="43">
        <f t="shared" si="0"/>
        <v>46120</v>
      </c>
      <c r="D12" s="61" t="str">
        <f t="shared" si="1"/>
        <v>Wednesday</v>
      </c>
      <c r="E12" s="62">
        <v>0.54166666666666663</v>
      </c>
      <c r="F12" s="62">
        <v>0.58333333333333337</v>
      </c>
      <c r="G12" s="62">
        <v>3.4722222222222218E-4</v>
      </c>
      <c r="H12" t="s">
        <v>125</v>
      </c>
      <c r="I12" s="63" t="s">
        <v>128</v>
      </c>
      <c r="J12" t="s">
        <v>86</v>
      </c>
      <c r="L12">
        <v>1</v>
      </c>
      <c r="M12">
        <v>72927</v>
      </c>
      <c r="N12" t="s">
        <v>33</v>
      </c>
      <c r="O12" t="s">
        <v>126</v>
      </c>
      <c r="P12" s="67">
        <v>50</v>
      </c>
      <c r="R12" s="67">
        <f t="shared" si="2"/>
        <v>50</v>
      </c>
      <c r="S12" s="65">
        <v>46113</v>
      </c>
      <c r="T12" s="67">
        <f t="shared" si="3"/>
        <v>7.5</v>
      </c>
      <c r="U12" s="66">
        <v>4</v>
      </c>
      <c r="V12" s="67">
        <f t="shared" si="4"/>
        <v>42.5</v>
      </c>
      <c r="W12" t="s">
        <v>66</v>
      </c>
      <c r="X12" t="s">
        <v>79</v>
      </c>
      <c r="Y12" t="s">
        <v>6</v>
      </c>
      <c r="Z12" t="s">
        <v>57</v>
      </c>
      <c r="AA12" t="s">
        <v>32</v>
      </c>
      <c r="AB12" s="66" t="s">
        <v>127</v>
      </c>
      <c r="AC12" t="s">
        <v>72</v>
      </c>
    </row>
    <row r="13" spans="1:29" x14ac:dyDescent="0.25">
      <c r="A13" t="s">
        <v>85</v>
      </c>
      <c r="B13" s="60">
        <v>46128</v>
      </c>
      <c r="C13" s="43">
        <f t="shared" si="0"/>
        <v>46128</v>
      </c>
      <c r="D13" s="61" t="str">
        <f t="shared" si="1"/>
        <v>Thursday</v>
      </c>
      <c r="E13" s="62">
        <v>0.54166666666666663</v>
      </c>
      <c r="F13" s="62">
        <v>0.58333333333333337</v>
      </c>
      <c r="G13" s="62">
        <v>3.4722222222222218E-4</v>
      </c>
      <c r="H13" t="s">
        <v>125</v>
      </c>
      <c r="I13" s="63" t="s">
        <v>128</v>
      </c>
      <c r="J13" t="s">
        <v>86</v>
      </c>
      <c r="L13">
        <v>1</v>
      </c>
      <c r="M13">
        <v>72927</v>
      </c>
      <c r="N13" t="s">
        <v>33</v>
      </c>
      <c r="O13" t="s">
        <v>126</v>
      </c>
      <c r="P13" s="67">
        <v>50</v>
      </c>
      <c r="R13" s="67">
        <f t="shared" si="2"/>
        <v>50</v>
      </c>
      <c r="S13" s="65">
        <v>46113</v>
      </c>
      <c r="T13" s="67">
        <f t="shared" si="3"/>
        <v>7.5</v>
      </c>
      <c r="U13" s="66">
        <v>4</v>
      </c>
      <c r="V13" s="67">
        <f t="shared" si="4"/>
        <v>42.5</v>
      </c>
      <c r="W13" t="s">
        <v>66</v>
      </c>
      <c r="X13" t="s">
        <v>79</v>
      </c>
      <c r="Y13" t="s">
        <v>6</v>
      </c>
      <c r="Z13" t="s">
        <v>57</v>
      </c>
      <c r="AA13" t="s">
        <v>32</v>
      </c>
      <c r="AB13" s="66" t="s">
        <v>127</v>
      </c>
      <c r="AC13" t="s">
        <v>72</v>
      </c>
    </row>
    <row r="14" spans="1:29" x14ac:dyDescent="0.25">
      <c r="A14" t="s">
        <v>85</v>
      </c>
      <c r="B14" s="60">
        <v>46120</v>
      </c>
      <c r="C14" s="43">
        <f t="shared" si="0"/>
        <v>46120</v>
      </c>
      <c r="D14" s="61" t="str">
        <f t="shared" si="1"/>
        <v>Wednesday</v>
      </c>
      <c r="E14" s="62">
        <v>0.77083333333333337</v>
      </c>
      <c r="F14" s="62">
        <v>0.79166666666666663</v>
      </c>
      <c r="G14" s="62">
        <v>3.4722222222222218E-4</v>
      </c>
      <c r="H14" t="s">
        <v>125</v>
      </c>
      <c r="I14" s="63" t="s">
        <v>84</v>
      </c>
      <c r="J14" t="s">
        <v>87</v>
      </c>
      <c r="L14">
        <v>1</v>
      </c>
      <c r="M14">
        <v>72928</v>
      </c>
      <c r="N14" t="s">
        <v>33</v>
      </c>
      <c r="O14" t="s">
        <v>126</v>
      </c>
      <c r="P14" s="67">
        <v>65</v>
      </c>
      <c r="R14" s="67">
        <f t="shared" si="2"/>
        <v>65</v>
      </c>
      <c r="S14" s="65">
        <v>46113</v>
      </c>
      <c r="T14" s="67">
        <f t="shared" si="3"/>
        <v>9.75</v>
      </c>
      <c r="U14" s="66">
        <v>4</v>
      </c>
      <c r="V14" s="67">
        <f t="shared" si="4"/>
        <v>55.25</v>
      </c>
      <c r="W14" t="s">
        <v>66</v>
      </c>
      <c r="X14" t="s">
        <v>79</v>
      </c>
      <c r="Y14" t="s">
        <v>6</v>
      </c>
      <c r="Z14" t="s">
        <v>57</v>
      </c>
      <c r="AA14" t="s">
        <v>32</v>
      </c>
      <c r="AB14" s="66" t="s">
        <v>127</v>
      </c>
      <c r="AC14" t="s">
        <v>72</v>
      </c>
    </row>
    <row r="15" spans="1:29" x14ac:dyDescent="0.25">
      <c r="A15" t="s">
        <v>85</v>
      </c>
      <c r="B15" s="60">
        <v>46122</v>
      </c>
      <c r="C15" s="43">
        <f t="shared" si="0"/>
        <v>46122</v>
      </c>
      <c r="D15" s="61" t="str">
        <f t="shared" si="1"/>
        <v>Friday</v>
      </c>
      <c r="E15" s="62">
        <v>0.77083333333333337</v>
      </c>
      <c r="F15" s="62">
        <v>0.79166666666666663</v>
      </c>
      <c r="G15" s="62">
        <v>3.4722222222222218E-4</v>
      </c>
      <c r="H15" t="s">
        <v>125</v>
      </c>
      <c r="I15" s="63" t="s">
        <v>84</v>
      </c>
      <c r="J15" t="s">
        <v>87</v>
      </c>
      <c r="L15">
        <v>1</v>
      </c>
      <c r="M15">
        <v>72928</v>
      </c>
      <c r="N15" t="s">
        <v>33</v>
      </c>
      <c r="O15" t="s">
        <v>126</v>
      </c>
      <c r="P15" s="67">
        <v>65</v>
      </c>
      <c r="R15" s="67">
        <f t="shared" si="2"/>
        <v>65</v>
      </c>
      <c r="S15" s="65">
        <v>46113</v>
      </c>
      <c r="T15" s="67">
        <f t="shared" si="3"/>
        <v>9.75</v>
      </c>
      <c r="U15" s="66">
        <v>4</v>
      </c>
      <c r="V15" s="67">
        <f t="shared" si="4"/>
        <v>55.25</v>
      </c>
      <c r="W15" t="s">
        <v>66</v>
      </c>
      <c r="X15" t="s">
        <v>79</v>
      </c>
      <c r="Y15" t="s">
        <v>6</v>
      </c>
      <c r="Z15" t="s">
        <v>57</v>
      </c>
      <c r="AA15" t="s">
        <v>32</v>
      </c>
      <c r="AB15" s="66" t="s">
        <v>127</v>
      </c>
      <c r="AC15" t="s">
        <v>72</v>
      </c>
    </row>
    <row r="16" spans="1:29" x14ac:dyDescent="0.25">
      <c r="A16" t="s">
        <v>85</v>
      </c>
      <c r="B16" s="60">
        <v>46136</v>
      </c>
      <c r="C16" s="43">
        <f t="shared" si="0"/>
        <v>46136</v>
      </c>
      <c r="D16" s="61" t="str">
        <f t="shared" si="1"/>
        <v>Friday</v>
      </c>
      <c r="E16" s="62">
        <v>0.77083333333333337</v>
      </c>
      <c r="F16" s="62">
        <v>0.79166666666666663</v>
      </c>
      <c r="G16" s="62">
        <v>3.4722222222222218E-4</v>
      </c>
      <c r="H16" t="s">
        <v>125</v>
      </c>
      <c r="I16" s="63" t="s">
        <v>84</v>
      </c>
      <c r="J16" t="s">
        <v>87</v>
      </c>
      <c r="L16">
        <v>1</v>
      </c>
      <c r="M16">
        <v>72928</v>
      </c>
      <c r="N16" t="s">
        <v>33</v>
      </c>
      <c r="O16" t="s">
        <v>126</v>
      </c>
      <c r="P16" s="67">
        <v>65</v>
      </c>
      <c r="R16" s="67">
        <f t="shared" si="2"/>
        <v>65</v>
      </c>
      <c r="S16" s="65">
        <v>46113</v>
      </c>
      <c r="T16" s="67">
        <f t="shared" si="3"/>
        <v>9.75</v>
      </c>
      <c r="U16" s="66">
        <v>4</v>
      </c>
      <c r="V16" s="67">
        <f t="shared" si="4"/>
        <v>55.25</v>
      </c>
      <c r="W16" t="s">
        <v>66</v>
      </c>
      <c r="X16" t="s">
        <v>79</v>
      </c>
      <c r="Y16" t="s">
        <v>6</v>
      </c>
      <c r="Z16" t="s">
        <v>57</v>
      </c>
      <c r="AA16" t="s">
        <v>32</v>
      </c>
      <c r="AB16" s="66" t="s">
        <v>127</v>
      </c>
      <c r="AC16" t="s">
        <v>72</v>
      </c>
    </row>
    <row r="17" spans="1:29" x14ac:dyDescent="0.25">
      <c r="A17" t="s">
        <v>85</v>
      </c>
      <c r="B17" s="60">
        <v>46121</v>
      </c>
      <c r="C17" s="43">
        <f t="shared" si="0"/>
        <v>46121</v>
      </c>
      <c r="D17" s="61" t="str">
        <f t="shared" si="1"/>
        <v>Thursday</v>
      </c>
      <c r="E17" s="62">
        <v>0.77083333333333337</v>
      </c>
      <c r="F17" s="62">
        <v>0.79166666666666663</v>
      </c>
      <c r="G17" s="62">
        <v>3.4722222222222218E-4</v>
      </c>
      <c r="H17" t="s">
        <v>125</v>
      </c>
      <c r="I17" s="63" t="s">
        <v>116</v>
      </c>
      <c r="J17" t="s">
        <v>87</v>
      </c>
      <c r="L17">
        <v>1</v>
      </c>
      <c r="M17">
        <v>72928</v>
      </c>
      <c r="N17" t="s">
        <v>33</v>
      </c>
      <c r="O17" t="s">
        <v>126</v>
      </c>
      <c r="P17" s="67">
        <v>65</v>
      </c>
      <c r="R17" s="67">
        <f t="shared" si="2"/>
        <v>65</v>
      </c>
      <c r="S17" s="65">
        <v>46113</v>
      </c>
      <c r="T17" s="67">
        <f t="shared" si="3"/>
        <v>9.75</v>
      </c>
      <c r="U17" s="66">
        <v>4</v>
      </c>
      <c r="V17" s="67">
        <f t="shared" si="4"/>
        <v>55.25</v>
      </c>
      <c r="W17" t="s">
        <v>66</v>
      </c>
      <c r="X17" t="s">
        <v>79</v>
      </c>
      <c r="Y17" t="s">
        <v>6</v>
      </c>
      <c r="Z17" t="s">
        <v>57</v>
      </c>
      <c r="AA17" t="s">
        <v>32</v>
      </c>
      <c r="AB17" s="66" t="s">
        <v>127</v>
      </c>
      <c r="AC17" t="s">
        <v>72</v>
      </c>
    </row>
    <row r="18" spans="1:29" x14ac:dyDescent="0.25">
      <c r="A18" t="s">
        <v>85</v>
      </c>
      <c r="B18" s="60">
        <v>46125</v>
      </c>
      <c r="C18" s="43">
        <f t="shared" si="0"/>
        <v>46125</v>
      </c>
      <c r="D18" s="61" t="str">
        <f t="shared" si="1"/>
        <v>Monday</v>
      </c>
      <c r="E18" s="62">
        <v>0.77083333333333337</v>
      </c>
      <c r="F18" s="62">
        <v>0.79166666666666663</v>
      </c>
      <c r="G18" s="62">
        <v>3.4722222222222218E-4</v>
      </c>
      <c r="H18" t="s">
        <v>125</v>
      </c>
      <c r="I18" s="63" t="s">
        <v>116</v>
      </c>
      <c r="J18" t="s">
        <v>87</v>
      </c>
      <c r="L18">
        <v>1</v>
      </c>
      <c r="M18">
        <v>72928</v>
      </c>
      <c r="N18" t="s">
        <v>33</v>
      </c>
      <c r="O18" t="s">
        <v>126</v>
      </c>
      <c r="P18" s="67">
        <v>65</v>
      </c>
      <c r="R18" s="67">
        <f t="shared" si="2"/>
        <v>65</v>
      </c>
      <c r="S18" s="65">
        <v>46113</v>
      </c>
      <c r="T18" s="67">
        <f t="shared" si="3"/>
        <v>9.75</v>
      </c>
      <c r="U18" s="66">
        <v>4</v>
      </c>
      <c r="V18" s="67">
        <f t="shared" si="4"/>
        <v>55.25</v>
      </c>
      <c r="W18" t="s">
        <v>66</v>
      </c>
      <c r="X18" t="s">
        <v>79</v>
      </c>
      <c r="Y18" t="s">
        <v>6</v>
      </c>
      <c r="Z18" t="s">
        <v>57</v>
      </c>
      <c r="AA18" t="s">
        <v>32</v>
      </c>
      <c r="AB18" s="66" t="s">
        <v>127</v>
      </c>
      <c r="AC18" t="s">
        <v>72</v>
      </c>
    </row>
    <row r="19" spans="1:29" x14ac:dyDescent="0.25">
      <c r="A19" t="s">
        <v>85</v>
      </c>
      <c r="B19" s="60">
        <v>46127</v>
      </c>
      <c r="C19" s="43">
        <f t="shared" si="0"/>
        <v>46127</v>
      </c>
      <c r="D19" s="61" t="str">
        <f t="shared" si="1"/>
        <v>Wednesday</v>
      </c>
      <c r="E19" s="62">
        <v>0.77083333333333337</v>
      </c>
      <c r="F19" s="62">
        <v>0.79166666666666663</v>
      </c>
      <c r="G19" s="62">
        <v>3.4722222222222218E-4</v>
      </c>
      <c r="H19" t="s">
        <v>125</v>
      </c>
      <c r="I19" s="63" t="s">
        <v>116</v>
      </c>
      <c r="J19" t="s">
        <v>87</v>
      </c>
      <c r="L19">
        <v>1</v>
      </c>
      <c r="M19">
        <v>72928</v>
      </c>
      <c r="N19" t="s">
        <v>33</v>
      </c>
      <c r="O19" t="s">
        <v>126</v>
      </c>
      <c r="P19" s="67">
        <v>65</v>
      </c>
      <c r="R19" s="67">
        <f t="shared" si="2"/>
        <v>65</v>
      </c>
      <c r="S19" s="65">
        <v>46113</v>
      </c>
      <c r="T19" s="67">
        <f t="shared" si="3"/>
        <v>9.75</v>
      </c>
      <c r="U19" s="66">
        <v>4</v>
      </c>
      <c r="V19" s="67">
        <f t="shared" si="4"/>
        <v>55.25</v>
      </c>
      <c r="W19" t="s">
        <v>66</v>
      </c>
      <c r="X19" t="s">
        <v>79</v>
      </c>
      <c r="Y19" t="s">
        <v>6</v>
      </c>
      <c r="Z19" t="s">
        <v>57</v>
      </c>
      <c r="AA19" t="s">
        <v>32</v>
      </c>
      <c r="AB19" s="66" t="s">
        <v>127</v>
      </c>
      <c r="AC19" t="s">
        <v>72</v>
      </c>
    </row>
    <row r="20" spans="1:29" x14ac:dyDescent="0.25">
      <c r="A20" t="s">
        <v>85</v>
      </c>
      <c r="B20" s="60">
        <v>46129</v>
      </c>
      <c r="C20" s="43">
        <f t="shared" si="0"/>
        <v>46129</v>
      </c>
      <c r="D20" s="61" t="str">
        <f t="shared" si="1"/>
        <v>Friday</v>
      </c>
      <c r="E20" s="62">
        <v>0.77083333333333337</v>
      </c>
      <c r="F20" s="62">
        <v>0.79166666666666663</v>
      </c>
      <c r="G20" s="62">
        <v>3.4722222222222218E-4</v>
      </c>
      <c r="H20" t="s">
        <v>125</v>
      </c>
      <c r="I20" s="63" t="s">
        <v>91</v>
      </c>
      <c r="J20" t="s">
        <v>87</v>
      </c>
      <c r="L20">
        <v>1</v>
      </c>
      <c r="M20">
        <v>72928</v>
      </c>
      <c r="N20" t="s">
        <v>33</v>
      </c>
      <c r="O20" t="s">
        <v>126</v>
      </c>
      <c r="P20" s="67">
        <v>65</v>
      </c>
      <c r="R20" s="67">
        <f t="shared" si="2"/>
        <v>65</v>
      </c>
      <c r="S20" s="65">
        <v>46113</v>
      </c>
      <c r="T20" s="67">
        <f t="shared" si="3"/>
        <v>9.75</v>
      </c>
      <c r="U20" s="66">
        <v>4</v>
      </c>
      <c r="V20" s="67">
        <f t="shared" si="4"/>
        <v>55.25</v>
      </c>
      <c r="W20" t="s">
        <v>66</v>
      </c>
      <c r="X20" t="s">
        <v>79</v>
      </c>
      <c r="Y20" t="s">
        <v>6</v>
      </c>
      <c r="Z20" t="s">
        <v>57</v>
      </c>
      <c r="AA20" t="s">
        <v>32</v>
      </c>
      <c r="AB20" s="66" t="s">
        <v>127</v>
      </c>
      <c r="AC20" t="s">
        <v>72</v>
      </c>
    </row>
    <row r="21" spans="1:29" x14ac:dyDescent="0.25">
      <c r="A21" t="s">
        <v>85</v>
      </c>
      <c r="B21" s="60">
        <v>46133</v>
      </c>
      <c r="C21" s="43">
        <f t="shared" si="0"/>
        <v>46133</v>
      </c>
      <c r="D21" s="61" t="str">
        <f t="shared" si="1"/>
        <v>Tuesday</v>
      </c>
      <c r="E21" s="62">
        <v>0.77083333333333337</v>
      </c>
      <c r="F21" s="62">
        <v>0.79166666666666663</v>
      </c>
      <c r="G21" s="62">
        <v>3.4722222222222218E-4</v>
      </c>
      <c r="H21" t="s">
        <v>125</v>
      </c>
      <c r="I21" s="63" t="s">
        <v>91</v>
      </c>
      <c r="J21" t="s">
        <v>87</v>
      </c>
      <c r="L21">
        <v>1</v>
      </c>
      <c r="M21">
        <v>72928</v>
      </c>
      <c r="N21" t="s">
        <v>33</v>
      </c>
      <c r="O21" t="s">
        <v>126</v>
      </c>
      <c r="P21" s="67">
        <v>65</v>
      </c>
      <c r="R21" s="67">
        <f t="shared" si="2"/>
        <v>65</v>
      </c>
      <c r="S21" s="65">
        <v>46113</v>
      </c>
      <c r="T21" s="67">
        <f t="shared" si="3"/>
        <v>9.75</v>
      </c>
      <c r="U21" s="66">
        <v>4</v>
      </c>
      <c r="V21" s="67">
        <f t="shared" si="4"/>
        <v>55.25</v>
      </c>
      <c r="W21" t="s">
        <v>66</v>
      </c>
      <c r="X21" t="s">
        <v>79</v>
      </c>
      <c r="Y21" t="s">
        <v>6</v>
      </c>
      <c r="Z21" t="s">
        <v>57</v>
      </c>
      <c r="AA21" t="s">
        <v>32</v>
      </c>
      <c r="AB21" s="66" t="s">
        <v>127</v>
      </c>
      <c r="AC21" t="s">
        <v>72</v>
      </c>
    </row>
    <row r="22" spans="1:29" x14ac:dyDescent="0.25">
      <c r="A22" t="s">
        <v>85</v>
      </c>
      <c r="B22" s="60">
        <v>46134</v>
      </c>
      <c r="C22" s="43">
        <f t="shared" si="0"/>
        <v>46134</v>
      </c>
      <c r="D22" s="61" t="str">
        <f t="shared" si="1"/>
        <v>Wednesday</v>
      </c>
      <c r="E22" s="62">
        <v>0.77083333333333337</v>
      </c>
      <c r="F22" s="62">
        <v>0.79166666666666663</v>
      </c>
      <c r="G22" s="62">
        <v>3.4722222222222218E-4</v>
      </c>
      <c r="H22" t="s">
        <v>125</v>
      </c>
      <c r="I22" s="63" t="s">
        <v>91</v>
      </c>
      <c r="J22" t="s">
        <v>87</v>
      </c>
      <c r="L22">
        <v>1</v>
      </c>
      <c r="M22">
        <v>72928</v>
      </c>
      <c r="N22" t="s">
        <v>33</v>
      </c>
      <c r="O22" t="s">
        <v>126</v>
      </c>
      <c r="P22" s="67">
        <v>65</v>
      </c>
      <c r="R22" s="67">
        <f t="shared" si="2"/>
        <v>65</v>
      </c>
      <c r="S22" s="65">
        <v>46113</v>
      </c>
      <c r="T22" s="67">
        <f t="shared" si="3"/>
        <v>9.75</v>
      </c>
      <c r="U22" s="66">
        <v>4</v>
      </c>
      <c r="V22" s="67">
        <f t="shared" si="4"/>
        <v>55.25</v>
      </c>
      <c r="W22" t="s">
        <v>66</v>
      </c>
      <c r="X22" t="s">
        <v>79</v>
      </c>
      <c r="Y22" t="s">
        <v>6</v>
      </c>
      <c r="Z22" t="s">
        <v>57</v>
      </c>
      <c r="AA22" t="s">
        <v>32</v>
      </c>
      <c r="AB22" s="66" t="s">
        <v>127</v>
      </c>
      <c r="AC22" t="s">
        <v>72</v>
      </c>
    </row>
    <row r="23" spans="1:29" x14ac:dyDescent="0.25">
      <c r="A23" t="s">
        <v>85</v>
      </c>
      <c r="B23" s="60">
        <v>46140</v>
      </c>
      <c r="C23" s="43">
        <f t="shared" si="0"/>
        <v>46140</v>
      </c>
      <c r="D23" s="61" t="str">
        <f t="shared" si="1"/>
        <v>Tuesday</v>
      </c>
      <c r="E23" s="62">
        <v>0.77083333333333337</v>
      </c>
      <c r="F23" s="62">
        <v>0.79166666666666663</v>
      </c>
      <c r="G23" s="62">
        <v>3.4722222222222218E-4</v>
      </c>
      <c r="H23" t="s">
        <v>125</v>
      </c>
      <c r="I23" s="63" t="s">
        <v>84</v>
      </c>
      <c r="J23" t="s">
        <v>87</v>
      </c>
      <c r="L23">
        <v>1</v>
      </c>
      <c r="M23">
        <v>72929</v>
      </c>
      <c r="N23" t="s">
        <v>33</v>
      </c>
      <c r="O23" t="s">
        <v>126</v>
      </c>
      <c r="P23" s="67">
        <v>65</v>
      </c>
      <c r="R23" s="67">
        <f t="shared" si="2"/>
        <v>65</v>
      </c>
      <c r="S23" s="65">
        <v>46143</v>
      </c>
      <c r="T23" s="67">
        <f t="shared" si="3"/>
        <v>9.75</v>
      </c>
      <c r="U23" s="66">
        <v>4</v>
      </c>
      <c r="V23" s="67">
        <f t="shared" si="4"/>
        <v>55.25</v>
      </c>
      <c r="W23" t="s">
        <v>66</v>
      </c>
      <c r="X23" t="s">
        <v>79</v>
      </c>
      <c r="Y23" t="s">
        <v>6</v>
      </c>
      <c r="Z23" t="s">
        <v>57</v>
      </c>
      <c r="AA23" t="s">
        <v>32</v>
      </c>
      <c r="AB23" s="66" t="s">
        <v>127</v>
      </c>
      <c r="AC23" t="s">
        <v>72</v>
      </c>
    </row>
    <row r="24" spans="1:29" x14ac:dyDescent="0.25">
      <c r="A24" t="s">
        <v>85</v>
      </c>
      <c r="B24" s="60">
        <v>46142</v>
      </c>
      <c r="C24" s="43">
        <f t="shared" si="0"/>
        <v>46142</v>
      </c>
      <c r="D24" s="61" t="str">
        <f t="shared" si="1"/>
        <v>Thursday</v>
      </c>
      <c r="E24" s="62">
        <v>0.77083333333333337</v>
      </c>
      <c r="F24" s="62">
        <v>0.79166666666666663</v>
      </c>
      <c r="G24" s="62">
        <v>3.4722222222222218E-4</v>
      </c>
      <c r="H24" t="s">
        <v>125</v>
      </c>
      <c r="I24" s="63" t="s">
        <v>84</v>
      </c>
      <c r="J24" t="s">
        <v>87</v>
      </c>
      <c r="L24">
        <v>1</v>
      </c>
      <c r="M24">
        <v>72929</v>
      </c>
      <c r="N24" t="s">
        <v>33</v>
      </c>
      <c r="O24" t="s">
        <v>126</v>
      </c>
      <c r="P24" s="67">
        <v>65</v>
      </c>
      <c r="R24" s="67">
        <f t="shared" si="2"/>
        <v>65</v>
      </c>
      <c r="S24" s="65">
        <v>46143</v>
      </c>
      <c r="T24" s="67">
        <f t="shared" si="3"/>
        <v>9.75</v>
      </c>
      <c r="U24" s="66">
        <v>4</v>
      </c>
      <c r="V24" s="67">
        <f t="shared" si="4"/>
        <v>55.25</v>
      </c>
      <c r="W24" t="s">
        <v>66</v>
      </c>
      <c r="X24" t="s">
        <v>79</v>
      </c>
      <c r="Y24" t="s">
        <v>6</v>
      </c>
      <c r="Z24" t="s">
        <v>57</v>
      </c>
      <c r="AA24" t="s">
        <v>32</v>
      </c>
      <c r="AB24" s="66" t="s">
        <v>127</v>
      </c>
      <c r="AC24" t="s">
        <v>72</v>
      </c>
    </row>
    <row r="25" spans="1:29" x14ac:dyDescent="0.25">
      <c r="A25" t="s">
        <v>85</v>
      </c>
      <c r="B25" s="60">
        <v>46141</v>
      </c>
      <c r="C25" s="43">
        <f t="shared" si="0"/>
        <v>46141</v>
      </c>
      <c r="D25" s="61" t="str">
        <f t="shared" si="1"/>
        <v>Wednesday</v>
      </c>
      <c r="E25" s="62">
        <v>0.77083333333333337</v>
      </c>
      <c r="F25" s="62">
        <v>0.79166666666666663</v>
      </c>
      <c r="G25" s="62">
        <v>3.4722222222222218E-4</v>
      </c>
      <c r="H25" t="s">
        <v>125</v>
      </c>
      <c r="I25" s="63" t="s">
        <v>116</v>
      </c>
      <c r="J25" t="s">
        <v>87</v>
      </c>
      <c r="L25">
        <v>1</v>
      </c>
      <c r="M25">
        <v>72929</v>
      </c>
      <c r="N25" t="s">
        <v>33</v>
      </c>
      <c r="O25" t="s">
        <v>126</v>
      </c>
      <c r="P25" s="67">
        <v>65</v>
      </c>
      <c r="R25" s="67">
        <f t="shared" si="2"/>
        <v>65</v>
      </c>
      <c r="S25" s="65">
        <v>46143</v>
      </c>
      <c r="T25" s="67">
        <f t="shared" si="3"/>
        <v>9.75</v>
      </c>
      <c r="U25" s="66">
        <v>4</v>
      </c>
      <c r="V25" s="67">
        <f t="shared" si="4"/>
        <v>55.25</v>
      </c>
      <c r="W25" t="s">
        <v>66</v>
      </c>
      <c r="X25" t="s">
        <v>79</v>
      </c>
      <c r="Y25" t="s">
        <v>6</v>
      </c>
      <c r="Z25" t="s">
        <v>57</v>
      </c>
      <c r="AA25" t="s">
        <v>32</v>
      </c>
      <c r="AB25" s="66" t="s">
        <v>127</v>
      </c>
      <c r="AC25" t="s">
        <v>72</v>
      </c>
    </row>
    <row r="26" spans="1:29" x14ac:dyDescent="0.25">
      <c r="A26" t="s">
        <v>85</v>
      </c>
      <c r="B26" s="60">
        <v>46143</v>
      </c>
      <c r="C26" s="43">
        <f t="shared" si="0"/>
        <v>46143</v>
      </c>
      <c r="D26" s="61" t="str">
        <f t="shared" si="1"/>
        <v>Friday</v>
      </c>
      <c r="E26" s="62">
        <v>0.77083333333333337</v>
      </c>
      <c r="F26" s="62">
        <v>0.79166666666666663</v>
      </c>
      <c r="G26" s="62">
        <v>3.4722222222222218E-4</v>
      </c>
      <c r="H26" t="s">
        <v>125</v>
      </c>
      <c r="I26" s="63" t="s">
        <v>91</v>
      </c>
      <c r="J26" t="s">
        <v>87</v>
      </c>
      <c r="L26">
        <v>1</v>
      </c>
      <c r="M26">
        <v>72929</v>
      </c>
      <c r="N26" t="s">
        <v>33</v>
      </c>
      <c r="O26" t="s">
        <v>126</v>
      </c>
      <c r="P26" s="67">
        <v>65</v>
      </c>
      <c r="R26" s="67">
        <f t="shared" si="2"/>
        <v>65</v>
      </c>
      <c r="S26" s="65">
        <v>46143</v>
      </c>
      <c r="T26" s="67">
        <f t="shared" si="3"/>
        <v>9.75</v>
      </c>
      <c r="U26" s="66">
        <v>4</v>
      </c>
      <c r="V26" s="67">
        <f t="shared" si="4"/>
        <v>55.25</v>
      </c>
      <c r="W26" t="s">
        <v>66</v>
      </c>
      <c r="X26" t="s">
        <v>79</v>
      </c>
      <c r="Y26" t="s">
        <v>6</v>
      </c>
      <c r="Z26" t="s">
        <v>57</v>
      </c>
      <c r="AA26" t="s">
        <v>32</v>
      </c>
      <c r="AB26" s="66" t="s">
        <v>127</v>
      </c>
      <c r="AC26" t="s">
        <v>72</v>
      </c>
    </row>
    <row r="27" spans="1:29" x14ac:dyDescent="0.25">
      <c r="A27" t="s">
        <v>85</v>
      </c>
      <c r="B27" s="60">
        <v>46120</v>
      </c>
      <c r="C27" s="43">
        <f t="shared" si="0"/>
        <v>46120</v>
      </c>
      <c r="D27" s="61" t="str">
        <f t="shared" si="1"/>
        <v>Wednesday</v>
      </c>
      <c r="E27" s="62">
        <v>0.79166666666666663</v>
      </c>
      <c r="F27" s="62">
        <v>0.83333333333333337</v>
      </c>
      <c r="G27" s="62">
        <v>3.4722222222222218E-4</v>
      </c>
      <c r="H27" t="s">
        <v>125</v>
      </c>
      <c r="I27" s="63" t="s">
        <v>129</v>
      </c>
      <c r="J27" t="s">
        <v>88</v>
      </c>
      <c r="L27">
        <v>1</v>
      </c>
      <c r="M27">
        <v>72930</v>
      </c>
      <c r="N27" t="s">
        <v>33</v>
      </c>
      <c r="O27" t="s">
        <v>126</v>
      </c>
      <c r="P27" s="67">
        <v>65</v>
      </c>
      <c r="R27" s="67">
        <f t="shared" si="2"/>
        <v>65</v>
      </c>
      <c r="S27" s="65">
        <v>46113</v>
      </c>
      <c r="T27" s="67">
        <f t="shared" si="3"/>
        <v>9.75</v>
      </c>
      <c r="U27" s="66">
        <v>4</v>
      </c>
      <c r="V27" s="67">
        <f t="shared" si="4"/>
        <v>55.25</v>
      </c>
      <c r="W27" t="s">
        <v>66</v>
      </c>
      <c r="X27" t="s">
        <v>79</v>
      </c>
      <c r="Y27" t="s">
        <v>6</v>
      </c>
      <c r="Z27" t="s">
        <v>57</v>
      </c>
      <c r="AA27" t="s">
        <v>32</v>
      </c>
      <c r="AB27" s="66" t="s">
        <v>127</v>
      </c>
      <c r="AC27" t="s">
        <v>72</v>
      </c>
    </row>
    <row r="28" spans="1:29" x14ac:dyDescent="0.25">
      <c r="A28" t="s">
        <v>85</v>
      </c>
      <c r="B28" s="60">
        <v>46129</v>
      </c>
      <c r="C28" s="43">
        <f t="shared" si="0"/>
        <v>46129</v>
      </c>
      <c r="D28" s="61" t="str">
        <f t="shared" si="1"/>
        <v>Friday</v>
      </c>
      <c r="E28" s="62">
        <v>0.79166666666666663</v>
      </c>
      <c r="F28" s="62">
        <v>0.83333333333333337</v>
      </c>
      <c r="G28" s="62">
        <v>3.4722222222222218E-4</v>
      </c>
      <c r="H28" t="s">
        <v>125</v>
      </c>
      <c r="I28" s="63" t="s">
        <v>92</v>
      </c>
      <c r="J28" t="s">
        <v>88</v>
      </c>
      <c r="L28">
        <v>1</v>
      </c>
      <c r="M28">
        <v>72930</v>
      </c>
      <c r="N28" t="s">
        <v>33</v>
      </c>
      <c r="O28" t="s">
        <v>126</v>
      </c>
      <c r="P28" s="67">
        <v>65</v>
      </c>
      <c r="R28" s="67">
        <f t="shared" si="2"/>
        <v>65</v>
      </c>
      <c r="S28" s="65">
        <v>46113</v>
      </c>
      <c r="T28" s="67">
        <f t="shared" si="3"/>
        <v>9.75</v>
      </c>
      <c r="U28" s="66">
        <v>4</v>
      </c>
      <c r="V28" s="67">
        <f t="shared" si="4"/>
        <v>55.25</v>
      </c>
      <c r="W28" t="s">
        <v>66</v>
      </c>
      <c r="X28" t="s">
        <v>79</v>
      </c>
      <c r="Y28" t="s">
        <v>6</v>
      </c>
      <c r="Z28" t="s">
        <v>57</v>
      </c>
      <c r="AA28" t="s">
        <v>32</v>
      </c>
      <c r="AB28" s="66" t="s">
        <v>127</v>
      </c>
      <c r="AC28" t="s">
        <v>72</v>
      </c>
    </row>
    <row r="29" spans="1:29" x14ac:dyDescent="0.25">
      <c r="A29" t="s">
        <v>85</v>
      </c>
      <c r="B29" s="60">
        <v>46119</v>
      </c>
      <c r="C29" s="43">
        <f t="shared" si="0"/>
        <v>46119</v>
      </c>
      <c r="D29" s="61" t="str">
        <f t="shared" si="1"/>
        <v>Tuesday</v>
      </c>
      <c r="E29" s="62">
        <v>0.79166666666666663</v>
      </c>
      <c r="F29" s="62">
        <v>0.83333333333333337</v>
      </c>
      <c r="G29" s="62">
        <v>3.4722222222222218E-4</v>
      </c>
      <c r="H29" t="s">
        <v>125</v>
      </c>
      <c r="I29" s="63" t="s">
        <v>93</v>
      </c>
      <c r="J29" t="s">
        <v>88</v>
      </c>
      <c r="L29">
        <v>1</v>
      </c>
      <c r="M29">
        <v>72930</v>
      </c>
      <c r="N29" t="s">
        <v>33</v>
      </c>
      <c r="O29" t="s">
        <v>126</v>
      </c>
      <c r="P29" s="67">
        <v>65</v>
      </c>
      <c r="R29" s="67">
        <f t="shared" si="2"/>
        <v>65</v>
      </c>
      <c r="S29" s="65">
        <v>46113</v>
      </c>
      <c r="T29" s="67">
        <f t="shared" si="3"/>
        <v>9.75</v>
      </c>
      <c r="U29" s="66">
        <v>4</v>
      </c>
      <c r="V29" s="67">
        <f t="shared" si="4"/>
        <v>55.25</v>
      </c>
      <c r="W29" t="s">
        <v>66</v>
      </c>
      <c r="X29" t="s">
        <v>79</v>
      </c>
      <c r="Y29" t="s">
        <v>6</v>
      </c>
      <c r="Z29" t="s">
        <v>57</v>
      </c>
      <c r="AA29" t="s">
        <v>32</v>
      </c>
      <c r="AB29" s="66" t="s">
        <v>127</v>
      </c>
      <c r="AC29" t="s">
        <v>72</v>
      </c>
    </row>
    <row r="30" spans="1:29" x14ac:dyDescent="0.25">
      <c r="A30" t="s">
        <v>85</v>
      </c>
      <c r="B30" s="60">
        <v>46126</v>
      </c>
      <c r="C30" s="43">
        <f t="shared" si="0"/>
        <v>46126</v>
      </c>
      <c r="D30" s="61" t="str">
        <f t="shared" si="1"/>
        <v>Tuesday</v>
      </c>
      <c r="E30" s="62">
        <v>0.79166666666666663</v>
      </c>
      <c r="F30" s="62">
        <v>0.83333333333333337</v>
      </c>
      <c r="G30" s="62">
        <v>3.4722222222222218E-4</v>
      </c>
      <c r="H30" t="s">
        <v>125</v>
      </c>
      <c r="I30" s="63" t="s">
        <v>93</v>
      </c>
      <c r="J30" t="s">
        <v>88</v>
      </c>
      <c r="L30">
        <v>1</v>
      </c>
      <c r="M30">
        <v>72930</v>
      </c>
      <c r="N30" t="s">
        <v>33</v>
      </c>
      <c r="O30" t="s">
        <v>126</v>
      </c>
      <c r="P30" s="67">
        <v>65</v>
      </c>
      <c r="R30" s="67">
        <f t="shared" si="2"/>
        <v>65</v>
      </c>
      <c r="S30" s="65">
        <v>46113</v>
      </c>
      <c r="T30" s="67">
        <f t="shared" si="3"/>
        <v>9.75</v>
      </c>
      <c r="U30" s="66">
        <v>4</v>
      </c>
      <c r="V30" s="67">
        <f t="shared" si="4"/>
        <v>55.25</v>
      </c>
      <c r="W30" t="s">
        <v>66</v>
      </c>
      <c r="X30" t="s">
        <v>79</v>
      </c>
      <c r="Y30" t="s">
        <v>6</v>
      </c>
      <c r="Z30" t="s">
        <v>57</v>
      </c>
      <c r="AA30" t="s">
        <v>32</v>
      </c>
      <c r="AB30" s="66" t="s">
        <v>127</v>
      </c>
      <c r="AC30" t="s">
        <v>72</v>
      </c>
    </row>
    <row r="31" spans="1:29" x14ac:dyDescent="0.25">
      <c r="A31" t="s">
        <v>85</v>
      </c>
      <c r="B31" s="60">
        <v>46136</v>
      </c>
      <c r="C31" s="43">
        <f t="shared" si="0"/>
        <v>46136</v>
      </c>
      <c r="D31" s="61" t="str">
        <f t="shared" si="1"/>
        <v>Friday</v>
      </c>
      <c r="E31" s="62">
        <v>0.79166666666666663</v>
      </c>
      <c r="F31" s="62">
        <v>0.83333333333333337</v>
      </c>
      <c r="G31" s="62">
        <v>3.4722222222222218E-4</v>
      </c>
      <c r="H31" t="s">
        <v>125</v>
      </c>
      <c r="I31" s="63" t="s">
        <v>130</v>
      </c>
      <c r="J31" t="s">
        <v>88</v>
      </c>
      <c r="L31">
        <v>1</v>
      </c>
      <c r="M31">
        <v>72930</v>
      </c>
      <c r="N31" t="s">
        <v>33</v>
      </c>
      <c r="O31" t="s">
        <v>126</v>
      </c>
      <c r="P31" s="67">
        <v>65</v>
      </c>
      <c r="R31" s="67">
        <f t="shared" si="2"/>
        <v>65</v>
      </c>
      <c r="S31" s="65">
        <v>46113</v>
      </c>
      <c r="T31" s="67">
        <f t="shared" si="3"/>
        <v>9.75</v>
      </c>
      <c r="U31" s="66">
        <v>4</v>
      </c>
      <c r="V31" s="67">
        <f t="shared" si="4"/>
        <v>55.25</v>
      </c>
      <c r="W31" t="s">
        <v>66</v>
      </c>
      <c r="X31" t="s">
        <v>79</v>
      </c>
      <c r="Y31" t="s">
        <v>6</v>
      </c>
      <c r="Z31" t="s">
        <v>57</v>
      </c>
      <c r="AA31" t="s">
        <v>32</v>
      </c>
      <c r="AB31" s="66" t="s">
        <v>127</v>
      </c>
      <c r="AC31" t="s">
        <v>72</v>
      </c>
    </row>
    <row r="32" spans="1:29" x14ac:dyDescent="0.25">
      <c r="A32" t="s">
        <v>85</v>
      </c>
      <c r="B32" s="60">
        <v>46125</v>
      </c>
      <c r="C32" s="43">
        <f t="shared" si="0"/>
        <v>46125</v>
      </c>
      <c r="D32" s="61" t="str">
        <f t="shared" si="1"/>
        <v>Monday</v>
      </c>
      <c r="E32" s="62">
        <v>0.79166666666666663</v>
      </c>
      <c r="F32" s="62">
        <v>0.83333333333333337</v>
      </c>
      <c r="G32" s="62">
        <v>3.4722222222222218E-4</v>
      </c>
      <c r="H32" t="s">
        <v>125</v>
      </c>
      <c r="I32" s="63" t="s">
        <v>131</v>
      </c>
      <c r="J32" t="s">
        <v>88</v>
      </c>
      <c r="L32">
        <v>1</v>
      </c>
      <c r="M32">
        <v>72930</v>
      </c>
      <c r="N32" t="s">
        <v>33</v>
      </c>
      <c r="O32" t="s">
        <v>126</v>
      </c>
      <c r="P32" s="67">
        <v>65</v>
      </c>
      <c r="R32" s="67">
        <f t="shared" si="2"/>
        <v>65</v>
      </c>
      <c r="S32" s="65">
        <v>46113</v>
      </c>
      <c r="T32" s="67">
        <f t="shared" si="3"/>
        <v>9.75</v>
      </c>
      <c r="U32" s="66">
        <v>4</v>
      </c>
      <c r="V32" s="67">
        <f t="shared" si="4"/>
        <v>55.25</v>
      </c>
      <c r="W32" t="s">
        <v>66</v>
      </c>
      <c r="X32" t="s">
        <v>79</v>
      </c>
      <c r="Y32" t="s">
        <v>6</v>
      </c>
      <c r="Z32" t="s">
        <v>57</v>
      </c>
      <c r="AA32" t="s">
        <v>32</v>
      </c>
      <c r="AB32" s="66" t="s">
        <v>127</v>
      </c>
      <c r="AC32" t="s">
        <v>72</v>
      </c>
    </row>
    <row r="33" spans="1:29" x14ac:dyDescent="0.25">
      <c r="A33" t="s">
        <v>85</v>
      </c>
      <c r="B33" s="60">
        <v>46121</v>
      </c>
      <c r="C33" s="43">
        <f t="shared" si="0"/>
        <v>46121</v>
      </c>
      <c r="D33" s="61" t="str">
        <f t="shared" si="1"/>
        <v>Thursday</v>
      </c>
      <c r="E33" s="62">
        <v>0.79166666666666663</v>
      </c>
      <c r="F33" s="62">
        <v>0.83333333333333337</v>
      </c>
      <c r="G33" s="62">
        <v>3.4722222222222218E-4</v>
      </c>
      <c r="H33" t="s">
        <v>125</v>
      </c>
      <c r="I33" s="63" t="s">
        <v>132</v>
      </c>
      <c r="J33" t="s">
        <v>88</v>
      </c>
      <c r="L33">
        <v>1</v>
      </c>
      <c r="M33">
        <v>72930</v>
      </c>
      <c r="N33" t="s">
        <v>33</v>
      </c>
      <c r="O33" t="s">
        <v>126</v>
      </c>
      <c r="P33" s="67">
        <v>65</v>
      </c>
      <c r="R33" s="67">
        <f t="shared" si="2"/>
        <v>65</v>
      </c>
      <c r="S33" s="65">
        <v>46113</v>
      </c>
      <c r="T33" s="67">
        <f t="shared" si="3"/>
        <v>9.75</v>
      </c>
      <c r="U33" s="66">
        <v>4</v>
      </c>
      <c r="V33" s="67">
        <f t="shared" si="4"/>
        <v>55.25</v>
      </c>
      <c r="W33" t="s">
        <v>66</v>
      </c>
      <c r="X33" t="s">
        <v>79</v>
      </c>
      <c r="Y33" t="s">
        <v>6</v>
      </c>
      <c r="Z33" t="s">
        <v>57</v>
      </c>
      <c r="AA33" t="s">
        <v>32</v>
      </c>
      <c r="AB33" s="66" t="s">
        <v>127</v>
      </c>
      <c r="AC33" t="s">
        <v>72</v>
      </c>
    </row>
    <row r="34" spans="1:29" x14ac:dyDescent="0.25">
      <c r="A34" t="s">
        <v>85</v>
      </c>
      <c r="B34" s="60">
        <v>46135</v>
      </c>
      <c r="C34" s="43">
        <f t="shared" si="0"/>
        <v>46135</v>
      </c>
      <c r="D34" s="61" t="str">
        <f t="shared" si="1"/>
        <v>Thursday</v>
      </c>
      <c r="E34" s="62">
        <v>0.79166666666666663</v>
      </c>
      <c r="F34" s="62">
        <v>0.83333333333333337</v>
      </c>
      <c r="G34" s="62">
        <v>3.4722222222222218E-4</v>
      </c>
      <c r="H34" t="s">
        <v>125</v>
      </c>
      <c r="I34" s="63" t="s">
        <v>132</v>
      </c>
      <c r="J34" t="s">
        <v>88</v>
      </c>
      <c r="L34">
        <v>1</v>
      </c>
      <c r="M34">
        <v>72930</v>
      </c>
      <c r="N34" t="s">
        <v>33</v>
      </c>
      <c r="O34" t="s">
        <v>126</v>
      </c>
      <c r="P34" s="67">
        <v>65</v>
      </c>
      <c r="R34" s="67">
        <f t="shared" si="2"/>
        <v>65</v>
      </c>
      <c r="S34" s="65">
        <v>46113</v>
      </c>
      <c r="T34" s="67">
        <f t="shared" si="3"/>
        <v>9.75</v>
      </c>
      <c r="U34" s="66">
        <v>4</v>
      </c>
      <c r="V34" s="67">
        <f t="shared" si="4"/>
        <v>55.25</v>
      </c>
      <c r="W34" t="s">
        <v>66</v>
      </c>
      <c r="X34" t="s">
        <v>79</v>
      </c>
      <c r="Y34" t="s">
        <v>6</v>
      </c>
      <c r="Z34" t="s">
        <v>57</v>
      </c>
      <c r="AA34" t="s">
        <v>32</v>
      </c>
      <c r="AB34" s="66" t="s">
        <v>127</v>
      </c>
      <c r="AC34" t="s">
        <v>72</v>
      </c>
    </row>
    <row r="35" spans="1:29" x14ac:dyDescent="0.25">
      <c r="A35" t="s">
        <v>85</v>
      </c>
      <c r="B35" s="60">
        <v>46132</v>
      </c>
      <c r="C35" s="43">
        <f t="shared" si="0"/>
        <v>46132</v>
      </c>
      <c r="D35" s="61" t="str">
        <f t="shared" si="1"/>
        <v>Monday</v>
      </c>
      <c r="E35" s="62">
        <v>0.79166666666666663</v>
      </c>
      <c r="F35" s="62">
        <v>0.83333333333333337</v>
      </c>
      <c r="G35" s="62">
        <v>3.4722222222222218E-4</v>
      </c>
      <c r="H35" t="s">
        <v>125</v>
      </c>
      <c r="I35" s="63" t="s">
        <v>95</v>
      </c>
      <c r="J35" t="s">
        <v>88</v>
      </c>
      <c r="L35">
        <v>1</v>
      </c>
      <c r="M35">
        <v>72930</v>
      </c>
      <c r="N35" t="s">
        <v>33</v>
      </c>
      <c r="O35" t="s">
        <v>126</v>
      </c>
      <c r="P35" s="67">
        <v>65</v>
      </c>
      <c r="R35" s="67">
        <f t="shared" si="2"/>
        <v>65</v>
      </c>
      <c r="S35" s="65">
        <v>46113</v>
      </c>
      <c r="T35" s="67">
        <f t="shared" si="3"/>
        <v>9.75</v>
      </c>
      <c r="U35" s="66">
        <v>4</v>
      </c>
      <c r="V35" s="67">
        <f t="shared" si="4"/>
        <v>55.25</v>
      </c>
      <c r="W35" t="s">
        <v>66</v>
      </c>
      <c r="X35" t="s">
        <v>79</v>
      </c>
      <c r="Y35" t="s">
        <v>6</v>
      </c>
      <c r="Z35" t="s">
        <v>57</v>
      </c>
      <c r="AA35" t="s">
        <v>32</v>
      </c>
      <c r="AB35" s="66" t="s">
        <v>127</v>
      </c>
      <c r="AC35" t="s">
        <v>72</v>
      </c>
    </row>
    <row r="36" spans="1:29" x14ac:dyDescent="0.25">
      <c r="A36" t="s">
        <v>85</v>
      </c>
      <c r="B36" s="60">
        <v>46140</v>
      </c>
      <c r="C36" s="43">
        <f t="shared" si="0"/>
        <v>46140</v>
      </c>
      <c r="D36" s="61" t="str">
        <f t="shared" si="1"/>
        <v>Tuesday</v>
      </c>
      <c r="E36" s="62">
        <v>0.79166666666666663</v>
      </c>
      <c r="F36" s="62">
        <v>0.83333333333333337</v>
      </c>
      <c r="G36" s="62">
        <v>3.4722222222222218E-4</v>
      </c>
      <c r="H36" t="s">
        <v>125</v>
      </c>
      <c r="I36" s="63" t="s">
        <v>93</v>
      </c>
      <c r="J36" t="s">
        <v>88</v>
      </c>
      <c r="L36">
        <v>1</v>
      </c>
      <c r="M36">
        <v>72931</v>
      </c>
      <c r="N36" t="s">
        <v>33</v>
      </c>
      <c r="O36" t="s">
        <v>126</v>
      </c>
      <c r="P36" s="67">
        <v>65</v>
      </c>
      <c r="R36" s="67">
        <f t="shared" si="2"/>
        <v>65</v>
      </c>
      <c r="S36" s="65">
        <v>46143</v>
      </c>
      <c r="T36" s="67">
        <f t="shared" si="3"/>
        <v>9.75</v>
      </c>
      <c r="U36" s="66">
        <v>4</v>
      </c>
      <c r="V36" s="67">
        <f t="shared" si="4"/>
        <v>55.25</v>
      </c>
      <c r="W36" t="s">
        <v>66</v>
      </c>
      <c r="X36" t="s">
        <v>79</v>
      </c>
      <c r="Y36" t="s">
        <v>6</v>
      </c>
      <c r="Z36" t="s">
        <v>57</v>
      </c>
      <c r="AA36" t="s">
        <v>32</v>
      </c>
      <c r="AB36" s="66" t="s">
        <v>127</v>
      </c>
      <c r="AC36" t="s">
        <v>72</v>
      </c>
    </row>
    <row r="37" spans="1:29" x14ac:dyDescent="0.25">
      <c r="A37" t="s">
        <v>85</v>
      </c>
      <c r="B37" s="60">
        <v>46143</v>
      </c>
      <c r="C37" s="43">
        <f t="shared" si="0"/>
        <v>46143</v>
      </c>
      <c r="D37" s="61" t="str">
        <f t="shared" si="1"/>
        <v>Friday</v>
      </c>
      <c r="E37" s="62">
        <v>0.79166666666666663</v>
      </c>
      <c r="F37" s="62">
        <v>0.83333333333333337</v>
      </c>
      <c r="G37" s="62">
        <v>3.4722222222222218E-4</v>
      </c>
      <c r="H37" t="s">
        <v>125</v>
      </c>
      <c r="I37" s="63" t="s">
        <v>133</v>
      </c>
      <c r="J37" t="s">
        <v>88</v>
      </c>
      <c r="L37">
        <v>1</v>
      </c>
      <c r="M37">
        <v>72931</v>
      </c>
      <c r="N37" t="s">
        <v>33</v>
      </c>
      <c r="O37" t="s">
        <v>126</v>
      </c>
      <c r="P37" s="67">
        <v>65</v>
      </c>
      <c r="R37" s="67">
        <f t="shared" si="2"/>
        <v>65</v>
      </c>
      <c r="S37" s="65">
        <v>46143</v>
      </c>
      <c r="T37" s="67">
        <f t="shared" si="3"/>
        <v>9.75</v>
      </c>
      <c r="U37" s="66">
        <v>4</v>
      </c>
      <c r="V37" s="67">
        <f t="shared" si="4"/>
        <v>55.25</v>
      </c>
      <c r="W37" t="s">
        <v>66</v>
      </c>
      <c r="X37" t="s">
        <v>79</v>
      </c>
      <c r="Y37" t="s">
        <v>6</v>
      </c>
      <c r="Z37" t="s">
        <v>57</v>
      </c>
      <c r="AA37" t="s">
        <v>32</v>
      </c>
      <c r="AB37" s="66" t="s">
        <v>127</v>
      </c>
      <c r="AC37" t="s">
        <v>72</v>
      </c>
    </row>
    <row r="38" spans="1:29" x14ac:dyDescent="0.25">
      <c r="A38" t="s">
        <v>85</v>
      </c>
      <c r="B38" s="60">
        <v>46141</v>
      </c>
      <c r="C38" s="43">
        <f t="shared" si="0"/>
        <v>46141</v>
      </c>
      <c r="D38" s="61" t="str">
        <f t="shared" si="1"/>
        <v>Wednesday</v>
      </c>
      <c r="E38" s="62">
        <v>0.79166666666666663</v>
      </c>
      <c r="F38" s="62">
        <v>0.83333333333333337</v>
      </c>
      <c r="G38" s="62">
        <v>3.4722222222222218E-4</v>
      </c>
      <c r="H38" t="s">
        <v>125</v>
      </c>
      <c r="I38" s="63" t="s">
        <v>94</v>
      </c>
      <c r="J38" t="s">
        <v>88</v>
      </c>
      <c r="L38">
        <v>1</v>
      </c>
      <c r="M38">
        <v>72931</v>
      </c>
      <c r="N38" t="s">
        <v>33</v>
      </c>
      <c r="O38" t="s">
        <v>126</v>
      </c>
      <c r="P38" s="67">
        <v>65</v>
      </c>
      <c r="R38" s="67">
        <f t="shared" si="2"/>
        <v>65</v>
      </c>
      <c r="S38" s="65">
        <v>46143</v>
      </c>
      <c r="T38" s="67">
        <f t="shared" si="3"/>
        <v>9.75</v>
      </c>
      <c r="U38" s="66">
        <v>4</v>
      </c>
      <c r="V38" s="67">
        <f t="shared" si="4"/>
        <v>55.25</v>
      </c>
      <c r="W38" t="s">
        <v>66</v>
      </c>
      <c r="X38" t="s">
        <v>79</v>
      </c>
      <c r="Y38" t="s">
        <v>6</v>
      </c>
      <c r="Z38" t="s">
        <v>57</v>
      </c>
      <c r="AA38" t="s">
        <v>32</v>
      </c>
      <c r="AB38" s="66" t="s">
        <v>127</v>
      </c>
      <c r="AC38" t="s">
        <v>72</v>
      </c>
    </row>
    <row r="39" spans="1:29" x14ac:dyDescent="0.25">
      <c r="A39" t="s">
        <v>85</v>
      </c>
      <c r="B39" s="60">
        <v>46139</v>
      </c>
      <c r="C39" s="43">
        <f t="shared" si="0"/>
        <v>46139</v>
      </c>
      <c r="D39" s="61" t="str">
        <f t="shared" si="1"/>
        <v>Monday</v>
      </c>
      <c r="E39" s="62">
        <v>0.79166666666666663</v>
      </c>
      <c r="F39" s="62">
        <v>0.83333333333333337</v>
      </c>
      <c r="G39" s="62">
        <v>3.4722222222222218E-4</v>
      </c>
      <c r="H39" t="s">
        <v>125</v>
      </c>
      <c r="I39" s="63" t="s">
        <v>131</v>
      </c>
      <c r="J39" t="s">
        <v>88</v>
      </c>
      <c r="L39">
        <v>1</v>
      </c>
      <c r="M39">
        <v>72931</v>
      </c>
      <c r="N39" t="s">
        <v>33</v>
      </c>
      <c r="O39" t="s">
        <v>126</v>
      </c>
      <c r="P39" s="67">
        <v>65</v>
      </c>
      <c r="R39" s="67">
        <f t="shared" si="2"/>
        <v>65</v>
      </c>
      <c r="S39" s="65">
        <v>46143</v>
      </c>
      <c r="T39" s="67">
        <f t="shared" si="3"/>
        <v>9.75</v>
      </c>
      <c r="U39" s="66">
        <v>4</v>
      </c>
      <c r="V39" s="67">
        <f t="shared" si="4"/>
        <v>55.25</v>
      </c>
      <c r="W39" t="s">
        <v>66</v>
      </c>
      <c r="X39" t="s">
        <v>79</v>
      </c>
      <c r="Y39" t="s">
        <v>6</v>
      </c>
      <c r="Z39" t="s">
        <v>57</v>
      </c>
      <c r="AA39" t="s">
        <v>32</v>
      </c>
      <c r="AB39" s="66" t="s">
        <v>127</v>
      </c>
      <c r="AC39" t="s">
        <v>72</v>
      </c>
    </row>
    <row r="40" spans="1:29" x14ac:dyDescent="0.25">
      <c r="A40" t="s">
        <v>85</v>
      </c>
      <c r="B40" s="60">
        <v>46139</v>
      </c>
      <c r="C40" s="43">
        <f t="shared" si="0"/>
        <v>46139</v>
      </c>
      <c r="D40" s="61" t="str">
        <f t="shared" si="1"/>
        <v>Monday</v>
      </c>
      <c r="E40" s="62">
        <v>0.79166666666666663</v>
      </c>
      <c r="F40" s="62">
        <v>0.99930555555555556</v>
      </c>
      <c r="G40" s="62">
        <v>3.4722222222222218E-4</v>
      </c>
      <c r="H40" t="s">
        <v>125</v>
      </c>
      <c r="I40" s="63" t="s">
        <v>92</v>
      </c>
      <c r="J40" t="s">
        <v>134</v>
      </c>
      <c r="L40">
        <v>1</v>
      </c>
      <c r="M40">
        <v>72932</v>
      </c>
      <c r="N40" t="s">
        <v>73</v>
      </c>
      <c r="O40" t="s">
        <v>126</v>
      </c>
      <c r="P40" s="67">
        <v>0</v>
      </c>
      <c r="R40" s="67">
        <f t="shared" si="2"/>
        <v>0</v>
      </c>
      <c r="S40" s="65">
        <v>46143</v>
      </c>
      <c r="T40" s="67">
        <f t="shared" si="3"/>
        <v>0</v>
      </c>
      <c r="U40" s="66">
        <v>4</v>
      </c>
      <c r="V40" s="67">
        <f t="shared" si="4"/>
        <v>0</v>
      </c>
      <c r="W40" t="s">
        <v>66</v>
      </c>
      <c r="X40" t="s">
        <v>79</v>
      </c>
      <c r="Y40" t="s">
        <v>6</v>
      </c>
      <c r="Z40" t="s">
        <v>57</v>
      </c>
      <c r="AA40" t="s">
        <v>32</v>
      </c>
      <c r="AB40" s="66" t="s">
        <v>127</v>
      </c>
      <c r="AC40" t="s">
        <v>72</v>
      </c>
    </row>
    <row r="41" spans="1:29" x14ac:dyDescent="0.25">
      <c r="A41" t="s">
        <v>85</v>
      </c>
      <c r="B41" s="60">
        <v>46142</v>
      </c>
      <c r="C41" s="43">
        <f t="shared" si="0"/>
        <v>46142</v>
      </c>
      <c r="D41" s="61" t="str">
        <f t="shared" si="1"/>
        <v>Thursday</v>
      </c>
      <c r="E41" s="62">
        <v>0.79166666666666663</v>
      </c>
      <c r="F41" s="62">
        <v>0.99930555555555556</v>
      </c>
      <c r="G41" s="62">
        <v>3.4722222222222218E-4</v>
      </c>
      <c r="H41" t="s">
        <v>125</v>
      </c>
      <c r="I41" s="63" t="s">
        <v>130</v>
      </c>
      <c r="J41" t="s">
        <v>134</v>
      </c>
      <c r="L41">
        <v>1</v>
      </c>
      <c r="M41">
        <v>72932</v>
      </c>
      <c r="N41" t="s">
        <v>73</v>
      </c>
      <c r="O41" t="s">
        <v>126</v>
      </c>
      <c r="P41" s="67">
        <v>0</v>
      </c>
      <c r="R41" s="67">
        <f t="shared" si="2"/>
        <v>0</v>
      </c>
      <c r="S41" s="65">
        <v>46143</v>
      </c>
      <c r="T41" s="67">
        <f t="shared" si="3"/>
        <v>0</v>
      </c>
      <c r="U41" s="66">
        <v>4</v>
      </c>
      <c r="V41" s="67">
        <f t="shared" si="4"/>
        <v>0</v>
      </c>
      <c r="W41" t="s">
        <v>66</v>
      </c>
      <c r="X41" t="s">
        <v>79</v>
      </c>
      <c r="Y41" t="s">
        <v>6</v>
      </c>
      <c r="Z41" t="s">
        <v>57</v>
      </c>
      <c r="AA41" t="s">
        <v>32</v>
      </c>
      <c r="AB41" s="66" t="s">
        <v>127</v>
      </c>
      <c r="AC41" t="s">
        <v>72</v>
      </c>
    </row>
    <row r="42" spans="1:29" x14ac:dyDescent="0.25">
      <c r="A42" t="s">
        <v>85</v>
      </c>
      <c r="B42" s="60">
        <v>46128</v>
      </c>
      <c r="C42" s="43">
        <f t="shared" si="0"/>
        <v>46128</v>
      </c>
      <c r="D42" s="61" t="str">
        <f t="shared" si="1"/>
        <v>Thursday</v>
      </c>
      <c r="E42" s="62">
        <v>0.79166666666666663</v>
      </c>
      <c r="F42" s="62">
        <v>0.99930555555555556</v>
      </c>
      <c r="G42" s="62">
        <v>3.4722222222222218E-4</v>
      </c>
      <c r="H42" t="s">
        <v>125</v>
      </c>
      <c r="I42" s="63" t="s">
        <v>78</v>
      </c>
      <c r="J42" t="s">
        <v>134</v>
      </c>
      <c r="L42">
        <v>1</v>
      </c>
      <c r="M42">
        <v>72932</v>
      </c>
      <c r="N42" t="s">
        <v>73</v>
      </c>
      <c r="O42" t="s">
        <v>126</v>
      </c>
      <c r="P42" s="67">
        <v>0</v>
      </c>
      <c r="R42" s="67">
        <f t="shared" si="2"/>
        <v>0</v>
      </c>
      <c r="S42" s="65">
        <v>46113</v>
      </c>
      <c r="T42" s="67">
        <f t="shared" si="3"/>
        <v>0</v>
      </c>
      <c r="U42" s="66">
        <v>4</v>
      </c>
      <c r="V42" s="67">
        <f t="shared" si="4"/>
        <v>0</v>
      </c>
      <c r="W42" t="s">
        <v>66</v>
      </c>
      <c r="X42" t="s">
        <v>79</v>
      </c>
      <c r="Y42" t="s">
        <v>6</v>
      </c>
      <c r="Z42" t="s">
        <v>57</v>
      </c>
      <c r="AA42" t="s">
        <v>32</v>
      </c>
      <c r="AB42" s="66" t="s">
        <v>127</v>
      </c>
      <c r="AC42" t="s">
        <v>72</v>
      </c>
    </row>
    <row r="43" spans="1:29" x14ac:dyDescent="0.25">
      <c r="A43" t="s">
        <v>85</v>
      </c>
      <c r="B43" s="60">
        <v>46130</v>
      </c>
      <c r="C43" s="43">
        <f t="shared" si="0"/>
        <v>46130</v>
      </c>
      <c r="D43" s="61" t="str">
        <f t="shared" si="1"/>
        <v>Saturday</v>
      </c>
      <c r="E43" s="62">
        <v>0.79166666666666663</v>
      </c>
      <c r="F43" s="62">
        <v>0.99930555555555556</v>
      </c>
      <c r="G43" s="62">
        <v>3.4722222222222218E-4</v>
      </c>
      <c r="H43" t="s">
        <v>125</v>
      </c>
      <c r="I43" s="63" t="s">
        <v>96</v>
      </c>
      <c r="J43" t="s">
        <v>134</v>
      </c>
      <c r="L43">
        <v>1</v>
      </c>
      <c r="M43">
        <v>72932</v>
      </c>
      <c r="N43" t="s">
        <v>73</v>
      </c>
      <c r="O43" t="s">
        <v>126</v>
      </c>
      <c r="P43" s="67">
        <v>0</v>
      </c>
      <c r="R43" s="67">
        <f t="shared" si="2"/>
        <v>0</v>
      </c>
      <c r="S43" s="65">
        <v>46113</v>
      </c>
      <c r="T43" s="67">
        <f t="shared" si="3"/>
        <v>0</v>
      </c>
      <c r="U43" s="66">
        <v>4</v>
      </c>
      <c r="V43" s="67">
        <f t="shared" si="4"/>
        <v>0</v>
      </c>
      <c r="W43" t="s">
        <v>66</v>
      </c>
      <c r="X43" t="s">
        <v>79</v>
      </c>
      <c r="Y43" t="s">
        <v>6</v>
      </c>
      <c r="Z43" t="s">
        <v>57</v>
      </c>
      <c r="AA43" t="s">
        <v>32</v>
      </c>
      <c r="AB43" s="66" t="s">
        <v>127</v>
      </c>
      <c r="AC43" t="s">
        <v>72</v>
      </c>
    </row>
    <row r="44" spans="1:29" x14ac:dyDescent="0.25">
      <c r="A44" t="s">
        <v>85</v>
      </c>
      <c r="B44" s="60">
        <v>46135</v>
      </c>
      <c r="C44" s="43">
        <f t="shared" si="0"/>
        <v>46135</v>
      </c>
      <c r="D44" s="61" t="str">
        <f t="shared" si="1"/>
        <v>Thursday</v>
      </c>
      <c r="E44" s="62">
        <v>0.79166666666666663</v>
      </c>
      <c r="F44" s="62">
        <v>0.99930555555555556</v>
      </c>
      <c r="G44" s="62">
        <v>3.4722222222222218E-4</v>
      </c>
      <c r="H44" t="s">
        <v>125</v>
      </c>
      <c r="I44" s="63" t="s">
        <v>117</v>
      </c>
      <c r="J44" t="s">
        <v>134</v>
      </c>
      <c r="L44">
        <v>1</v>
      </c>
      <c r="M44">
        <v>72932</v>
      </c>
      <c r="N44" t="s">
        <v>73</v>
      </c>
      <c r="O44" t="s">
        <v>126</v>
      </c>
      <c r="P44" s="67">
        <v>0</v>
      </c>
      <c r="R44" s="67">
        <f t="shared" si="2"/>
        <v>0</v>
      </c>
      <c r="S44" s="65">
        <v>46113</v>
      </c>
      <c r="T44" s="67">
        <f t="shared" si="3"/>
        <v>0</v>
      </c>
      <c r="U44" s="66">
        <v>4</v>
      </c>
      <c r="V44" s="67">
        <f t="shared" si="4"/>
        <v>0</v>
      </c>
      <c r="W44" t="s">
        <v>66</v>
      </c>
      <c r="X44" t="s">
        <v>79</v>
      </c>
      <c r="Y44" t="s">
        <v>6</v>
      </c>
      <c r="Z44" t="s">
        <v>57</v>
      </c>
      <c r="AA44" t="s">
        <v>32</v>
      </c>
      <c r="AB44" s="66" t="s">
        <v>127</v>
      </c>
      <c r="AC44" t="s">
        <v>72</v>
      </c>
    </row>
    <row r="45" spans="1:29" x14ac:dyDescent="0.25">
      <c r="A45" t="s">
        <v>85</v>
      </c>
      <c r="B45" s="60">
        <v>46144</v>
      </c>
      <c r="C45" s="43">
        <f t="shared" si="0"/>
        <v>46144</v>
      </c>
      <c r="D45" s="61" t="str">
        <f t="shared" si="1"/>
        <v>Saturday</v>
      </c>
      <c r="E45" s="62">
        <v>0.79166666666666663</v>
      </c>
      <c r="F45" s="62">
        <v>0.99930555555555556</v>
      </c>
      <c r="G45" s="62">
        <v>3.4722222222222218E-4</v>
      </c>
      <c r="H45" t="s">
        <v>125</v>
      </c>
      <c r="I45" s="63" t="s">
        <v>135</v>
      </c>
      <c r="J45" t="s">
        <v>134</v>
      </c>
      <c r="L45">
        <v>1</v>
      </c>
      <c r="M45">
        <v>72932</v>
      </c>
      <c r="N45" t="s">
        <v>73</v>
      </c>
      <c r="O45" t="s">
        <v>126</v>
      </c>
      <c r="P45" s="67">
        <v>0</v>
      </c>
      <c r="R45" s="67">
        <f t="shared" si="2"/>
        <v>0</v>
      </c>
      <c r="S45" s="65">
        <v>46143</v>
      </c>
      <c r="T45" s="67">
        <f t="shared" si="3"/>
        <v>0</v>
      </c>
      <c r="U45" s="66">
        <v>4</v>
      </c>
      <c r="V45" s="67">
        <f t="shared" si="4"/>
        <v>0</v>
      </c>
      <c r="W45" t="s">
        <v>66</v>
      </c>
      <c r="X45" t="s">
        <v>79</v>
      </c>
      <c r="Y45" t="s">
        <v>6</v>
      </c>
      <c r="Z45" t="s">
        <v>57</v>
      </c>
      <c r="AA45" t="s">
        <v>32</v>
      </c>
      <c r="AB45" s="66" t="s">
        <v>127</v>
      </c>
      <c r="AC45" t="s">
        <v>72</v>
      </c>
    </row>
    <row r="46" spans="1:29" x14ac:dyDescent="0.25">
      <c r="A46" t="s">
        <v>85</v>
      </c>
      <c r="B46" s="60">
        <v>46134</v>
      </c>
      <c r="C46" s="43">
        <f t="shared" si="0"/>
        <v>46134</v>
      </c>
      <c r="D46" s="61" t="str">
        <f t="shared" si="1"/>
        <v>Wednesday</v>
      </c>
      <c r="E46" s="62">
        <v>0.79166666666666663</v>
      </c>
      <c r="F46" s="62">
        <v>0.99930555555555556</v>
      </c>
      <c r="G46" s="62">
        <v>3.4722222222222218E-4</v>
      </c>
      <c r="H46" t="s">
        <v>125</v>
      </c>
      <c r="I46" s="63" t="s">
        <v>136</v>
      </c>
      <c r="J46" t="s">
        <v>134</v>
      </c>
      <c r="L46">
        <v>1</v>
      </c>
      <c r="M46">
        <v>72932</v>
      </c>
      <c r="N46" t="s">
        <v>73</v>
      </c>
      <c r="O46" t="s">
        <v>126</v>
      </c>
      <c r="P46" s="67">
        <v>0</v>
      </c>
      <c r="R46" s="67">
        <f t="shared" si="2"/>
        <v>0</v>
      </c>
      <c r="S46" s="65">
        <v>46113</v>
      </c>
      <c r="T46" s="67">
        <f t="shared" si="3"/>
        <v>0</v>
      </c>
      <c r="U46" s="66">
        <v>4</v>
      </c>
      <c r="V46" s="67">
        <f t="shared" si="4"/>
        <v>0</v>
      </c>
      <c r="W46" t="s">
        <v>66</v>
      </c>
      <c r="X46" t="s">
        <v>79</v>
      </c>
      <c r="Y46" t="s">
        <v>6</v>
      </c>
      <c r="Z46" t="s">
        <v>57</v>
      </c>
      <c r="AA46" t="s">
        <v>32</v>
      </c>
      <c r="AB46" s="66" t="s">
        <v>127</v>
      </c>
      <c r="AC46" t="s">
        <v>72</v>
      </c>
    </row>
    <row r="47" spans="1:29" x14ac:dyDescent="0.25">
      <c r="A47" t="s">
        <v>85</v>
      </c>
      <c r="B47" s="60">
        <v>46118</v>
      </c>
      <c r="C47" s="43">
        <f t="shared" si="0"/>
        <v>46118</v>
      </c>
      <c r="D47" s="61" t="str">
        <f t="shared" si="1"/>
        <v>Monday</v>
      </c>
      <c r="E47" s="62">
        <v>0.79166666666666663</v>
      </c>
      <c r="F47" s="62">
        <v>0.99930555555555556</v>
      </c>
      <c r="G47" s="62">
        <v>3.4722222222222218E-4</v>
      </c>
      <c r="H47" t="s">
        <v>125</v>
      </c>
      <c r="I47" s="63" t="s">
        <v>137</v>
      </c>
      <c r="J47" t="s">
        <v>134</v>
      </c>
      <c r="L47">
        <v>1</v>
      </c>
      <c r="M47">
        <v>72932</v>
      </c>
      <c r="N47" t="s">
        <v>73</v>
      </c>
      <c r="O47" t="s">
        <v>126</v>
      </c>
      <c r="P47" s="67">
        <v>0</v>
      </c>
      <c r="R47" s="67">
        <f t="shared" si="2"/>
        <v>0</v>
      </c>
      <c r="S47" s="65">
        <v>46113</v>
      </c>
      <c r="T47" s="67">
        <f t="shared" si="3"/>
        <v>0</v>
      </c>
      <c r="U47" s="66">
        <v>4</v>
      </c>
      <c r="V47" s="67">
        <f t="shared" si="4"/>
        <v>0</v>
      </c>
      <c r="W47" t="s">
        <v>66</v>
      </c>
      <c r="X47" t="s">
        <v>79</v>
      </c>
      <c r="Y47" t="s">
        <v>6</v>
      </c>
      <c r="Z47" t="s">
        <v>57</v>
      </c>
      <c r="AA47" t="s">
        <v>32</v>
      </c>
      <c r="AB47" s="66" t="s">
        <v>127</v>
      </c>
      <c r="AC47" t="s">
        <v>72</v>
      </c>
    </row>
    <row r="48" spans="1:29" x14ac:dyDescent="0.25">
      <c r="A48" t="s">
        <v>85</v>
      </c>
      <c r="B48" s="60">
        <v>46127</v>
      </c>
      <c r="C48" s="43">
        <f t="shared" si="0"/>
        <v>46127</v>
      </c>
      <c r="D48" s="61" t="str">
        <f t="shared" si="1"/>
        <v>Wednesday</v>
      </c>
      <c r="E48" s="62">
        <v>0.79166666666666663</v>
      </c>
      <c r="F48" s="62">
        <v>0.99930555555555556</v>
      </c>
      <c r="G48" s="62">
        <v>3.4722222222222218E-4</v>
      </c>
      <c r="H48" t="s">
        <v>125</v>
      </c>
      <c r="I48" s="63" t="s">
        <v>138</v>
      </c>
      <c r="J48" t="s">
        <v>134</v>
      </c>
      <c r="L48">
        <v>1</v>
      </c>
      <c r="M48">
        <v>72932</v>
      </c>
      <c r="N48" t="s">
        <v>73</v>
      </c>
      <c r="O48" t="s">
        <v>126</v>
      </c>
      <c r="P48" s="67">
        <v>0</v>
      </c>
      <c r="R48" s="67">
        <f t="shared" si="2"/>
        <v>0</v>
      </c>
      <c r="S48" s="65">
        <v>46113</v>
      </c>
      <c r="T48" s="67">
        <f t="shared" si="3"/>
        <v>0</v>
      </c>
      <c r="U48" s="66">
        <v>4</v>
      </c>
      <c r="V48" s="67">
        <f t="shared" si="4"/>
        <v>0</v>
      </c>
      <c r="W48" t="s">
        <v>66</v>
      </c>
      <c r="X48" t="s">
        <v>79</v>
      </c>
      <c r="Y48" t="s">
        <v>6</v>
      </c>
      <c r="Z48" t="s">
        <v>57</v>
      </c>
      <c r="AA48" t="s">
        <v>32</v>
      </c>
      <c r="AB48" s="66" t="s">
        <v>127</v>
      </c>
      <c r="AC48" t="s">
        <v>72</v>
      </c>
    </row>
    <row r="49" spans="1:29" x14ac:dyDescent="0.25">
      <c r="A49" t="s">
        <v>85</v>
      </c>
      <c r="B49" s="60">
        <v>46138</v>
      </c>
      <c r="C49" s="43">
        <f t="shared" si="0"/>
        <v>46138</v>
      </c>
      <c r="D49" s="61" t="str">
        <f t="shared" si="1"/>
        <v>Sunday</v>
      </c>
      <c r="E49" s="62">
        <v>0.79166666666666663</v>
      </c>
      <c r="F49" s="62">
        <v>0.99930555555555556</v>
      </c>
      <c r="G49" s="62">
        <v>3.4722222222222218E-4</v>
      </c>
      <c r="H49" t="s">
        <v>125</v>
      </c>
      <c r="I49" s="63" t="s">
        <v>139</v>
      </c>
      <c r="J49" t="s">
        <v>134</v>
      </c>
      <c r="L49">
        <v>1</v>
      </c>
      <c r="M49">
        <v>72932</v>
      </c>
      <c r="N49" t="s">
        <v>73</v>
      </c>
      <c r="O49" t="s">
        <v>126</v>
      </c>
      <c r="P49" s="67">
        <v>0</v>
      </c>
      <c r="R49" s="67">
        <f t="shared" si="2"/>
        <v>0</v>
      </c>
      <c r="S49" s="65">
        <v>46113</v>
      </c>
      <c r="T49" s="67">
        <f t="shared" si="3"/>
        <v>0</v>
      </c>
      <c r="U49" s="66">
        <v>4</v>
      </c>
      <c r="V49" s="67">
        <f t="shared" si="4"/>
        <v>0</v>
      </c>
      <c r="W49" t="s">
        <v>66</v>
      </c>
      <c r="X49" t="s">
        <v>79</v>
      </c>
      <c r="Y49" t="s">
        <v>6</v>
      </c>
      <c r="Z49" t="s">
        <v>57</v>
      </c>
      <c r="AA49" t="s">
        <v>32</v>
      </c>
      <c r="AB49" s="66" t="s">
        <v>127</v>
      </c>
      <c r="AC49" t="s">
        <v>72</v>
      </c>
    </row>
    <row r="50" spans="1:29" x14ac:dyDescent="0.25">
      <c r="A50" t="s">
        <v>85</v>
      </c>
      <c r="B50" s="60">
        <v>46119</v>
      </c>
      <c r="C50" s="43">
        <f t="shared" si="0"/>
        <v>46119</v>
      </c>
      <c r="D50" s="61" t="str">
        <f t="shared" si="1"/>
        <v>Tuesday</v>
      </c>
      <c r="E50" s="62">
        <v>0.79166666666666663</v>
      </c>
      <c r="F50" s="62">
        <v>0.99930555555555556</v>
      </c>
      <c r="G50" s="62">
        <v>3.4722222222222218E-4</v>
      </c>
      <c r="H50" t="s">
        <v>125</v>
      </c>
      <c r="I50" s="63" t="s">
        <v>119</v>
      </c>
      <c r="J50" t="s">
        <v>134</v>
      </c>
      <c r="L50">
        <v>1</v>
      </c>
      <c r="M50">
        <v>72932</v>
      </c>
      <c r="N50" t="s">
        <v>73</v>
      </c>
      <c r="O50" t="s">
        <v>126</v>
      </c>
      <c r="P50" s="67">
        <v>0</v>
      </c>
      <c r="R50" s="67">
        <f t="shared" si="2"/>
        <v>0</v>
      </c>
      <c r="S50" s="65">
        <v>46113</v>
      </c>
      <c r="T50" s="67">
        <f t="shared" si="3"/>
        <v>0</v>
      </c>
      <c r="U50" s="66">
        <v>4</v>
      </c>
      <c r="V50" s="67">
        <f t="shared" si="4"/>
        <v>0</v>
      </c>
      <c r="W50" t="s">
        <v>66</v>
      </c>
      <c r="X50" t="s">
        <v>79</v>
      </c>
      <c r="Y50" t="s">
        <v>6</v>
      </c>
      <c r="Z50" t="s">
        <v>57</v>
      </c>
      <c r="AA50" t="s">
        <v>32</v>
      </c>
      <c r="AB50" s="66" t="s">
        <v>127</v>
      </c>
      <c r="AC50" t="s">
        <v>72</v>
      </c>
    </row>
    <row r="51" spans="1:29" x14ac:dyDescent="0.25">
      <c r="A51" t="s">
        <v>85</v>
      </c>
      <c r="B51" s="60">
        <v>46120</v>
      </c>
      <c r="C51" s="43">
        <f t="shared" si="0"/>
        <v>46120</v>
      </c>
      <c r="D51" s="61" t="str">
        <f t="shared" si="1"/>
        <v>Wednesday</v>
      </c>
      <c r="E51" s="62">
        <v>0.79166666666666663</v>
      </c>
      <c r="F51" s="62">
        <v>0.99930555555555556</v>
      </c>
      <c r="G51" s="62">
        <v>3.4722222222222218E-4</v>
      </c>
      <c r="H51" t="s">
        <v>125</v>
      </c>
      <c r="I51" s="63" t="s">
        <v>140</v>
      </c>
      <c r="J51" t="s">
        <v>134</v>
      </c>
      <c r="L51">
        <v>1</v>
      </c>
      <c r="M51">
        <v>72932</v>
      </c>
      <c r="N51" t="s">
        <v>73</v>
      </c>
      <c r="O51" t="s">
        <v>126</v>
      </c>
      <c r="P51" s="67">
        <v>0</v>
      </c>
      <c r="R51" s="67">
        <f t="shared" si="2"/>
        <v>0</v>
      </c>
      <c r="S51" s="65">
        <v>46113</v>
      </c>
      <c r="T51" s="67">
        <f t="shared" si="3"/>
        <v>0</v>
      </c>
      <c r="U51" s="66">
        <v>4</v>
      </c>
      <c r="V51" s="67">
        <f t="shared" si="4"/>
        <v>0</v>
      </c>
      <c r="W51" t="s">
        <v>66</v>
      </c>
      <c r="X51" t="s">
        <v>79</v>
      </c>
      <c r="Y51" t="s">
        <v>6</v>
      </c>
      <c r="Z51" t="s">
        <v>57</v>
      </c>
      <c r="AA51" t="s">
        <v>32</v>
      </c>
      <c r="AB51" s="66" t="s">
        <v>127</v>
      </c>
      <c r="AC51" t="s">
        <v>72</v>
      </c>
    </row>
    <row r="52" spans="1:29" x14ac:dyDescent="0.25">
      <c r="A52" t="s">
        <v>85</v>
      </c>
      <c r="B52" s="60">
        <v>46119</v>
      </c>
      <c r="C52" s="43">
        <f t="shared" si="0"/>
        <v>46119</v>
      </c>
      <c r="D52" s="61" t="str">
        <f t="shared" si="1"/>
        <v>Tuesday</v>
      </c>
      <c r="E52" s="62">
        <v>0.83333333333333337</v>
      </c>
      <c r="F52" s="62">
        <v>0.875</v>
      </c>
      <c r="G52" s="62">
        <v>3.4722222222222218E-4</v>
      </c>
      <c r="H52" t="s">
        <v>125</v>
      </c>
      <c r="I52" s="63" t="s">
        <v>78</v>
      </c>
      <c r="J52" t="s">
        <v>89</v>
      </c>
      <c r="L52">
        <v>1</v>
      </c>
      <c r="M52">
        <v>72933</v>
      </c>
      <c r="N52" t="s">
        <v>33</v>
      </c>
      <c r="O52" t="s">
        <v>126</v>
      </c>
      <c r="P52" s="67">
        <v>65</v>
      </c>
      <c r="R52" s="67">
        <f t="shared" si="2"/>
        <v>65</v>
      </c>
      <c r="S52" s="65">
        <v>46113</v>
      </c>
      <c r="T52" s="67">
        <f t="shared" si="3"/>
        <v>9.75</v>
      </c>
      <c r="U52" s="66">
        <v>4</v>
      </c>
      <c r="V52" s="67">
        <f t="shared" si="4"/>
        <v>55.25</v>
      </c>
      <c r="W52" t="s">
        <v>66</v>
      </c>
      <c r="X52" t="s">
        <v>79</v>
      </c>
      <c r="Y52" t="s">
        <v>6</v>
      </c>
      <c r="Z52" t="s">
        <v>57</v>
      </c>
      <c r="AA52" t="s">
        <v>32</v>
      </c>
      <c r="AB52" s="66" t="s">
        <v>127</v>
      </c>
      <c r="AC52" t="s">
        <v>72</v>
      </c>
    </row>
    <row r="53" spans="1:29" x14ac:dyDescent="0.25">
      <c r="A53" t="s">
        <v>85</v>
      </c>
      <c r="B53" s="60">
        <v>46133</v>
      </c>
      <c r="C53" s="43">
        <f t="shared" si="0"/>
        <v>46133</v>
      </c>
      <c r="D53" s="61" t="str">
        <f t="shared" si="1"/>
        <v>Tuesday</v>
      </c>
      <c r="E53" s="62">
        <v>0.83333333333333337</v>
      </c>
      <c r="F53" s="62">
        <v>0.875</v>
      </c>
      <c r="G53" s="62">
        <v>3.4722222222222218E-4</v>
      </c>
      <c r="H53" t="s">
        <v>125</v>
      </c>
      <c r="I53" s="63" t="s">
        <v>78</v>
      </c>
      <c r="J53" t="s">
        <v>89</v>
      </c>
      <c r="L53">
        <v>1</v>
      </c>
      <c r="M53">
        <v>72933</v>
      </c>
      <c r="N53" t="s">
        <v>33</v>
      </c>
      <c r="O53" t="s">
        <v>126</v>
      </c>
      <c r="P53" s="67">
        <v>65</v>
      </c>
      <c r="R53" s="67">
        <f t="shared" si="2"/>
        <v>65</v>
      </c>
      <c r="S53" s="65">
        <v>46113</v>
      </c>
      <c r="T53" s="67">
        <f t="shared" si="3"/>
        <v>9.75</v>
      </c>
      <c r="U53" s="66">
        <v>4</v>
      </c>
      <c r="V53" s="67">
        <f t="shared" si="4"/>
        <v>55.25</v>
      </c>
      <c r="W53" t="s">
        <v>66</v>
      </c>
      <c r="X53" t="s">
        <v>79</v>
      </c>
      <c r="Y53" t="s">
        <v>6</v>
      </c>
      <c r="Z53" t="s">
        <v>57</v>
      </c>
      <c r="AA53" t="s">
        <v>32</v>
      </c>
      <c r="AB53" s="66" t="s">
        <v>127</v>
      </c>
      <c r="AC53" t="s">
        <v>72</v>
      </c>
    </row>
    <row r="54" spans="1:29" x14ac:dyDescent="0.25">
      <c r="A54" t="s">
        <v>85</v>
      </c>
      <c r="B54" s="60">
        <v>46121</v>
      </c>
      <c r="C54" s="43">
        <f t="shared" si="0"/>
        <v>46121</v>
      </c>
      <c r="D54" s="61" t="str">
        <f t="shared" si="1"/>
        <v>Thursday</v>
      </c>
      <c r="E54" s="62">
        <v>0.83333333333333337</v>
      </c>
      <c r="F54" s="62">
        <v>0.875</v>
      </c>
      <c r="G54" s="62">
        <v>3.4722222222222218E-4</v>
      </c>
      <c r="H54" t="s">
        <v>125</v>
      </c>
      <c r="I54" s="63" t="s">
        <v>97</v>
      </c>
      <c r="J54" t="s">
        <v>89</v>
      </c>
      <c r="L54">
        <v>1</v>
      </c>
      <c r="M54">
        <v>72933</v>
      </c>
      <c r="N54" t="s">
        <v>33</v>
      </c>
      <c r="O54" t="s">
        <v>126</v>
      </c>
      <c r="P54" s="67">
        <v>65</v>
      </c>
      <c r="R54" s="67">
        <f t="shared" si="2"/>
        <v>65</v>
      </c>
      <c r="S54" s="65">
        <v>46113</v>
      </c>
      <c r="T54" s="67">
        <f t="shared" si="3"/>
        <v>9.75</v>
      </c>
      <c r="U54" s="66">
        <v>4</v>
      </c>
      <c r="V54" s="67">
        <f t="shared" si="4"/>
        <v>55.25</v>
      </c>
      <c r="W54" t="s">
        <v>66</v>
      </c>
      <c r="X54" t="s">
        <v>79</v>
      </c>
      <c r="Y54" t="s">
        <v>6</v>
      </c>
      <c r="Z54" t="s">
        <v>57</v>
      </c>
      <c r="AA54" t="s">
        <v>32</v>
      </c>
      <c r="AB54" s="66" t="s">
        <v>127</v>
      </c>
      <c r="AC54" t="s">
        <v>72</v>
      </c>
    </row>
    <row r="55" spans="1:29" x14ac:dyDescent="0.25">
      <c r="A55" t="s">
        <v>85</v>
      </c>
      <c r="B55" s="60">
        <v>46126</v>
      </c>
      <c r="C55" s="43">
        <f t="shared" si="0"/>
        <v>46126</v>
      </c>
      <c r="D55" s="61" t="str">
        <f t="shared" si="1"/>
        <v>Tuesday</v>
      </c>
      <c r="E55" s="62">
        <v>0.83333333333333337</v>
      </c>
      <c r="F55" s="62">
        <v>0.875</v>
      </c>
      <c r="G55" s="62">
        <v>3.4722222222222218E-4</v>
      </c>
      <c r="H55" t="s">
        <v>125</v>
      </c>
      <c r="I55" s="63" t="s">
        <v>97</v>
      </c>
      <c r="J55" t="s">
        <v>89</v>
      </c>
      <c r="L55">
        <v>1</v>
      </c>
      <c r="M55">
        <v>72933</v>
      </c>
      <c r="N55" t="s">
        <v>33</v>
      </c>
      <c r="O55" t="s">
        <v>126</v>
      </c>
      <c r="P55" s="67">
        <v>65</v>
      </c>
      <c r="R55" s="67">
        <f t="shared" si="2"/>
        <v>65</v>
      </c>
      <c r="S55" s="65">
        <v>46113</v>
      </c>
      <c r="T55" s="67">
        <f t="shared" si="3"/>
        <v>9.75</v>
      </c>
      <c r="U55" s="66">
        <v>4</v>
      </c>
      <c r="V55" s="67">
        <f t="shared" si="4"/>
        <v>55.25</v>
      </c>
      <c r="W55" t="s">
        <v>66</v>
      </c>
      <c r="X55" t="s">
        <v>79</v>
      </c>
      <c r="Y55" t="s">
        <v>6</v>
      </c>
      <c r="Z55" t="s">
        <v>57</v>
      </c>
      <c r="AA55" t="s">
        <v>32</v>
      </c>
      <c r="AB55" s="66" t="s">
        <v>127</v>
      </c>
      <c r="AC55" t="s">
        <v>72</v>
      </c>
    </row>
    <row r="56" spans="1:29" x14ac:dyDescent="0.25">
      <c r="A56" t="s">
        <v>85</v>
      </c>
      <c r="B56" s="60">
        <v>46128</v>
      </c>
      <c r="C56" s="43">
        <f t="shared" si="0"/>
        <v>46128</v>
      </c>
      <c r="D56" s="61" t="str">
        <f t="shared" si="1"/>
        <v>Thursday</v>
      </c>
      <c r="E56" s="62">
        <v>0.83333333333333337</v>
      </c>
      <c r="F56" s="62">
        <v>0.875</v>
      </c>
      <c r="G56" s="62">
        <v>3.4722222222222218E-4</v>
      </c>
      <c r="H56" t="s">
        <v>125</v>
      </c>
      <c r="I56" s="63" t="s">
        <v>96</v>
      </c>
      <c r="J56" t="s">
        <v>89</v>
      </c>
      <c r="L56">
        <v>1</v>
      </c>
      <c r="M56">
        <v>72933</v>
      </c>
      <c r="N56" t="s">
        <v>33</v>
      </c>
      <c r="O56" t="s">
        <v>126</v>
      </c>
      <c r="P56" s="67">
        <v>65</v>
      </c>
      <c r="R56" s="67">
        <f t="shared" si="2"/>
        <v>65</v>
      </c>
      <c r="S56" s="65">
        <v>46113</v>
      </c>
      <c r="T56" s="67">
        <f t="shared" si="3"/>
        <v>9.75</v>
      </c>
      <c r="U56" s="66">
        <v>4</v>
      </c>
      <c r="V56" s="67">
        <f t="shared" si="4"/>
        <v>55.25</v>
      </c>
      <c r="W56" t="s">
        <v>66</v>
      </c>
      <c r="X56" t="s">
        <v>79</v>
      </c>
      <c r="Y56" t="s">
        <v>6</v>
      </c>
      <c r="Z56" t="s">
        <v>57</v>
      </c>
      <c r="AA56" t="s">
        <v>32</v>
      </c>
      <c r="AB56" s="66" t="s">
        <v>127</v>
      </c>
      <c r="AC56" t="s">
        <v>72</v>
      </c>
    </row>
    <row r="57" spans="1:29" x14ac:dyDescent="0.25">
      <c r="A57" t="s">
        <v>85</v>
      </c>
      <c r="B57" s="60">
        <v>46132</v>
      </c>
      <c r="C57" s="43">
        <f t="shared" si="0"/>
        <v>46132</v>
      </c>
      <c r="D57" s="61" t="str">
        <f t="shared" si="1"/>
        <v>Monday</v>
      </c>
      <c r="E57" s="62">
        <v>0.83333333333333337</v>
      </c>
      <c r="F57" s="62">
        <v>0.875</v>
      </c>
      <c r="G57" s="62">
        <v>3.4722222222222218E-4</v>
      </c>
      <c r="H57" t="s">
        <v>125</v>
      </c>
      <c r="I57" s="63" t="s">
        <v>96</v>
      </c>
      <c r="J57" t="s">
        <v>89</v>
      </c>
      <c r="L57">
        <v>1</v>
      </c>
      <c r="M57">
        <v>72933</v>
      </c>
      <c r="N57" t="s">
        <v>33</v>
      </c>
      <c r="O57" t="s">
        <v>126</v>
      </c>
      <c r="P57" s="67">
        <v>65</v>
      </c>
      <c r="R57" s="67">
        <f t="shared" si="2"/>
        <v>65</v>
      </c>
      <c r="S57" s="65">
        <v>46113</v>
      </c>
      <c r="T57" s="67">
        <f t="shared" si="3"/>
        <v>9.75</v>
      </c>
      <c r="U57" s="66">
        <v>4</v>
      </c>
      <c r="V57" s="67">
        <f t="shared" si="4"/>
        <v>55.25</v>
      </c>
      <c r="W57" t="s">
        <v>66</v>
      </c>
      <c r="X57" t="s">
        <v>79</v>
      </c>
      <c r="Y57" t="s">
        <v>6</v>
      </c>
      <c r="Z57" t="s">
        <v>57</v>
      </c>
      <c r="AA57" t="s">
        <v>32</v>
      </c>
      <c r="AB57" s="66" t="s">
        <v>127</v>
      </c>
      <c r="AC57" t="s">
        <v>72</v>
      </c>
    </row>
    <row r="58" spans="1:29" x14ac:dyDescent="0.25">
      <c r="A58" t="s">
        <v>85</v>
      </c>
      <c r="B58" s="60">
        <v>46137</v>
      </c>
      <c r="C58" s="43">
        <f t="shared" si="0"/>
        <v>46137</v>
      </c>
      <c r="D58" s="61" t="str">
        <f t="shared" si="1"/>
        <v>Saturday</v>
      </c>
      <c r="E58" s="62">
        <v>0.83333333333333337</v>
      </c>
      <c r="F58" s="62">
        <v>0.875</v>
      </c>
      <c r="G58" s="62">
        <v>3.4722222222222218E-4</v>
      </c>
      <c r="H58" t="s">
        <v>125</v>
      </c>
      <c r="I58" s="63" t="s">
        <v>96</v>
      </c>
      <c r="J58" t="s">
        <v>89</v>
      </c>
      <c r="L58">
        <v>1</v>
      </c>
      <c r="M58">
        <v>72933</v>
      </c>
      <c r="N58" t="s">
        <v>33</v>
      </c>
      <c r="O58" t="s">
        <v>126</v>
      </c>
      <c r="P58" s="67">
        <v>65</v>
      </c>
      <c r="R58" s="67">
        <f t="shared" si="2"/>
        <v>65</v>
      </c>
      <c r="S58" s="65">
        <v>46113</v>
      </c>
      <c r="T58" s="67">
        <f t="shared" si="3"/>
        <v>9.75</v>
      </c>
      <c r="U58" s="66">
        <v>4</v>
      </c>
      <c r="V58" s="67">
        <f t="shared" si="4"/>
        <v>55.25</v>
      </c>
      <c r="W58" t="s">
        <v>66</v>
      </c>
      <c r="X58" t="s">
        <v>79</v>
      </c>
      <c r="Y58" t="s">
        <v>6</v>
      </c>
      <c r="Z58" t="s">
        <v>57</v>
      </c>
      <c r="AA58" t="s">
        <v>32</v>
      </c>
      <c r="AB58" s="66" t="s">
        <v>127</v>
      </c>
      <c r="AC58" t="s">
        <v>72</v>
      </c>
    </row>
    <row r="59" spans="1:29" x14ac:dyDescent="0.25">
      <c r="A59" t="s">
        <v>85</v>
      </c>
      <c r="B59" s="60">
        <v>46118</v>
      </c>
      <c r="C59" s="43">
        <f t="shared" si="0"/>
        <v>46118</v>
      </c>
      <c r="D59" s="61" t="str">
        <f t="shared" si="1"/>
        <v>Monday</v>
      </c>
      <c r="E59" s="62">
        <v>0.83333333333333337</v>
      </c>
      <c r="F59" s="62">
        <v>0.875</v>
      </c>
      <c r="G59" s="62">
        <v>3.4722222222222218E-4</v>
      </c>
      <c r="H59" t="s">
        <v>125</v>
      </c>
      <c r="I59" s="63" t="s">
        <v>98</v>
      </c>
      <c r="J59" t="s">
        <v>89</v>
      </c>
      <c r="L59">
        <v>1</v>
      </c>
      <c r="M59">
        <v>72933</v>
      </c>
      <c r="N59" t="s">
        <v>33</v>
      </c>
      <c r="O59" t="s">
        <v>126</v>
      </c>
      <c r="P59" s="67">
        <v>65</v>
      </c>
      <c r="R59" s="67">
        <f t="shared" si="2"/>
        <v>65</v>
      </c>
      <c r="S59" s="65">
        <v>46113</v>
      </c>
      <c r="T59" s="67">
        <f t="shared" si="3"/>
        <v>9.75</v>
      </c>
      <c r="U59" s="66">
        <v>4</v>
      </c>
      <c r="V59" s="67">
        <f t="shared" si="4"/>
        <v>55.25</v>
      </c>
      <c r="W59" t="s">
        <v>66</v>
      </c>
      <c r="X59" t="s">
        <v>79</v>
      </c>
      <c r="Y59" t="s">
        <v>6</v>
      </c>
      <c r="Z59" t="s">
        <v>57</v>
      </c>
      <c r="AA59" t="s">
        <v>32</v>
      </c>
      <c r="AB59" s="66" t="s">
        <v>127</v>
      </c>
      <c r="AC59" t="s">
        <v>72</v>
      </c>
    </row>
    <row r="60" spans="1:29" x14ac:dyDescent="0.25">
      <c r="A60" t="s">
        <v>85</v>
      </c>
      <c r="B60" s="60">
        <v>46129</v>
      </c>
      <c r="C60" s="43">
        <f t="shared" si="0"/>
        <v>46129</v>
      </c>
      <c r="D60" s="61" t="str">
        <f t="shared" si="1"/>
        <v>Friday</v>
      </c>
      <c r="E60" s="62">
        <v>0.83333333333333337</v>
      </c>
      <c r="F60" s="62">
        <v>0.875</v>
      </c>
      <c r="G60" s="62">
        <v>3.4722222222222218E-4</v>
      </c>
      <c r="H60" t="s">
        <v>125</v>
      </c>
      <c r="I60" s="63" t="s">
        <v>98</v>
      </c>
      <c r="J60" t="s">
        <v>89</v>
      </c>
      <c r="L60">
        <v>1</v>
      </c>
      <c r="M60">
        <v>72933</v>
      </c>
      <c r="N60" t="s">
        <v>33</v>
      </c>
      <c r="O60" t="s">
        <v>126</v>
      </c>
      <c r="P60" s="67">
        <v>65</v>
      </c>
      <c r="R60" s="67">
        <f t="shared" si="2"/>
        <v>65</v>
      </c>
      <c r="S60" s="65">
        <v>46113</v>
      </c>
      <c r="T60" s="67">
        <f t="shared" si="3"/>
        <v>9.75</v>
      </c>
      <c r="U60" s="66">
        <v>4</v>
      </c>
      <c r="V60" s="67">
        <f t="shared" si="4"/>
        <v>55.25</v>
      </c>
      <c r="W60" t="s">
        <v>66</v>
      </c>
      <c r="X60" t="s">
        <v>79</v>
      </c>
      <c r="Y60" t="s">
        <v>6</v>
      </c>
      <c r="Z60" t="s">
        <v>57</v>
      </c>
      <c r="AA60" t="s">
        <v>32</v>
      </c>
      <c r="AB60" s="66" t="s">
        <v>127</v>
      </c>
      <c r="AC60" t="s">
        <v>72</v>
      </c>
    </row>
    <row r="61" spans="1:29" x14ac:dyDescent="0.25">
      <c r="A61" t="s">
        <v>85</v>
      </c>
      <c r="B61" s="60">
        <v>46142</v>
      </c>
      <c r="C61" s="43">
        <f t="shared" si="0"/>
        <v>46142</v>
      </c>
      <c r="D61" s="61" t="str">
        <f t="shared" si="1"/>
        <v>Thursday</v>
      </c>
      <c r="E61" s="62">
        <v>0.83333333333333337</v>
      </c>
      <c r="F61" s="62">
        <v>0.875</v>
      </c>
      <c r="G61" s="62">
        <v>3.4722222222222218E-4</v>
      </c>
      <c r="H61" t="s">
        <v>125</v>
      </c>
      <c r="I61" s="63" t="s">
        <v>78</v>
      </c>
      <c r="J61" t="s">
        <v>89</v>
      </c>
      <c r="L61">
        <v>1</v>
      </c>
      <c r="M61">
        <v>72934</v>
      </c>
      <c r="N61" t="s">
        <v>33</v>
      </c>
      <c r="O61" t="s">
        <v>126</v>
      </c>
      <c r="P61" s="67">
        <v>65</v>
      </c>
      <c r="R61" s="67">
        <f t="shared" si="2"/>
        <v>65</v>
      </c>
      <c r="S61" s="65">
        <v>46143</v>
      </c>
      <c r="T61" s="67">
        <f t="shared" si="3"/>
        <v>9.75</v>
      </c>
      <c r="U61" s="66">
        <v>4</v>
      </c>
      <c r="V61" s="67">
        <f t="shared" si="4"/>
        <v>55.25</v>
      </c>
      <c r="W61" t="s">
        <v>66</v>
      </c>
      <c r="X61" t="s">
        <v>79</v>
      </c>
      <c r="Y61" t="s">
        <v>6</v>
      </c>
      <c r="Z61" t="s">
        <v>57</v>
      </c>
      <c r="AA61" t="s">
        <v>32</v>
      </c>
      <c r="AB61" s="66" t="s">
        <v>127</v>
      </c>
      <c r="AC61" t="s">
        <v>72</v>
      </c>
    </row>
    <row r="62" spans="1:29" x14ac:dyDescent="0.25">
      <c r="A62" t="s">
        <v>85</v>
      </c>
      <c r="B62" s="60">
        <v>46140</v>
      </c>
      <c r="C62" s="43">
        <f t="shared" si="0"/>
        <v>46140</v>
      </c>
      <c r="D62" s="61" t="str">
        <f t="shared" si="1"/>
        <v>Tuesday</v>
      </c>
      <c r="E62" s="62">
        <v>0.83333333333333337</v>
      </c>
      <c r="F62" s="62">
        <v>0.875</v>
      </c>
      <c r="G62" s="62">
        <v>3.4722222222222218E-4</v>
      </c>
      <c r="H62" t="s">
        <v>125</v>
      </c>
      <c r="I62" s="63" t="s">
        <v>97</v>
      </c>
      <c r="J62" t="s">
        <v>89</v>
      </c>
      <c r="L62">
        <v>1</v>
      </c>
      <c r="M62">
        <v>72934</v>
      </c>
      <c r="N62" t="s">
        <v>33</v>
      </c>
      <c r="O62" t="s">
        <v>126</v>
      </c>
      <c r="P62" s="67">
        <v>65</v>
      </c>
      <c r="R62" s="67">
        <f t="shared" si="2"/>
        <v>65</v>
      </c>
      <c r="S62" s="65">
        <v>46143</v>
      </c>
      <c r="T62" s="67">
        <f t="shared" si="3"/>
        <v>9.75</v>
      </c>
      <c r="U62" s="66">
        <v>4</v>
      </c>
      <c r="V62" s="67">
        <f t="shared" si="4"/>
        <v>55.25</v>
      </c>
      <c r="W62" t="s">
        <v>66</v>
      </c>
      <c r="X62" t="s">
        <v>79</v>
      </c>
      <c r="Y62" t="s">
        <v>6</v>
      </c>
      <c r="Z62" t="s">
        <v>57</v>
      </c>
      <c r="AA62" t="s">
        <v>32</v>
      </c>
      <c r="AB62" s="66" t="s">
        <v>127</v>
      </c>
      <c r="AC62" t="s">
        <v>72</v>
      </c>
    </row>
    <row r="63" spans="1:29" x14ac:dyDescent="0.25">
      <c r="A63" t="s">
        <v>85</v>
      </c>
      <c r="B63" s="60">
        <v>46139</v>
      </c>
      <c r="C63" s="43">
        <f t="shared" si="0"/>
        <v>46139</v>
      </c>
      <c r="D63" s="61" t="str">
        <f t="shared" si="1"/>
        <v>Monday</v>
      </c>
      <c r="E63" s="62">
        <v>0.83333333333333337</v>
      </c>
      <c r="F63" s="62">
        <v>0.875</v>
      </c>
      <c r="G63" s="62">
        <v>3.4722222222222218E-4</v>
      </c>
      <c r="H63" t="s">
        <v>125</v>
      </c>
      <c r="I63" s="63" t="s">
        <v>96</v>
      </c>
      <c r="J63" t="s">
        <v>89</v>
      </c>
      <c r="L63">
        <v>1</v>
      </c>
      <c r="M63">
        <v>72934</v>
      </c>
      <c r="N63" t="s">
        <v>33</v>
      </c>
      <c r="O63" t="s">
        <v>126</v>
      </c>
      <c r="P63" s="67">
        <v>65</v>
      </c>
      <c r="R63" s="67">
        <f t="shared" si="2"/>
        <v>65</v>
      </c>
      <c r="S63" s="65">
        <v>46143</v>
      </c>
      <c r="T63" s="67">
        <f t="shared" si="3"/>
        <v>9.75</v>
      </c>
      <c r="U63" s="66">
        <v>4</v>
      </c>
      <c r="V63" s="67">
        <f t="shared" si="4"/>
        <v>55.25</v>
      </c>
      <c r="W63" t="s">
        <v>66</v>
      </c>
      <c r="X63" t="s">
        <v>79</v>
      </c>
      <c r="Y63" t="s">
        <v>6</v>
      </c>
      <c r="Z63" t="s">
        <v>57</v>
      </c>
      <c r="AA63" t="s">
        <v>32</v>
      </c>
      <c r="AB63" s="66" t="s">
        <v>127</v>
      </c>
      <c r="AC63" t="s">
        <v>72</v>
      </c>
    </row>
    <row r="64" spans="1:29" x14ac:dyDescent="0.25">
      <c r="A64" t="s">
        <v>85</v>
      </c>
      <c r="B64" s="60">
        <v>46145</v>
      </c>
      <c r="C64" s="43">
        <f t="shared" si="0"/>
        <v>46145</v>
      </c>
      <c r="D64" s="61" t="str">
        <f t="shared" si="1"/>
        <v>Sunday</v>
      </c>
      <c r="E64" s="62">
        <v>0.83333333333333337</v>
      </c>
      <c r="F64" s="62">
        <v>0.875</v>
      </c>
      <c r="G64" s="62">
        <v>3.4722222222222218E-4</v>
      </c>
      <c r="H64" t="s">
        <v>125</v>
      </c>
      <c r="I64" s="63" t="s">
        <v>96</v>
      </c>
      <c r="J64" t="s">
        <v>89</v>
      </c>
      <c r="L64">
        <v>1</v>
      </c>
      <c r="M64">
        <v>72934</v>
      </c>
      <c r="N64" t="s">
        <v>33</v>
      </c>
      <c r="O64" t="s">
        <v>126</v>
      </c>
      <c r="P64" s="67">
        <v>65</v>
      </c>
      <c r="R64" s="67">
        <f t="shared" si="2"/>
        <v>65</v>
      </c>
      <c r="S64" s="65">
        <v>46143</v>
      </c>
      <c r="T64" s="67">
        <f t="shared" si="3"/>
        <v>9.75</v>
      </c>
      <c r="U64" s="66">
        <v>4</v>
      </c>
      <c r="V64" s="67">
        <f t="shared" si="4"/>
        <v>55.25</v>
      </c>
      <c r="W64" t="s">
        <v>66</v>
      </c>
      <c r="X64" t="s">
        <v>79</v>
      </c>
      <c r="Y64" t="s">
        <v>6</v>
      </c>
      <c r="Z64" t="s">
        <v>57</v>
      </c>
      <c r="AA64" t="s">
        <v>32</v>
      </c>
      <c r="AB64" s="66" t="s">
        <v>127</v>
      </c>
      <c r="AC64" t="s">
        <v>72</v>
      </c>
    </row>
    <row r="65" spans="1:29" x14ac:dyDescent="0.25">
      <c r="A65" t="s">
        <v>85</v>
      </c>
      <c r="B65" s="60">
        <v>46141</v>
      </c>
      <c r="C65" s="43">
        <f t="shared" si="0"/>
        <v>46141</v>
      </c>
      <c r="D65" s="61" t="str">
        <f t="shared" si="1"/>
        <v>Wednesday</v>
      </c>
      <c r="E65" s="62">
        <v>0.83333333333333337</v>
      </c>
      <c r="F65" s="62">
        <v>0.875</v>
      </c>
      <c r="G65" s="62">
        <v>3.4722222222222218E-4</v>
      </c>
      <c r="H65" t="s">
        <v>125</v>
      </c>
      <c r="I65" s="63" t="s">
        <v>98</v>
      </c>
      <c r="J65" t="s">
        <v>89</v>
      </c>
      <c r="L65">
        <v>1</v>
      </c>
      <c r="M65">
        <v>72934</v>
      </c>
      <c r="N65" t="s">
        <v>33</v>
      </c>
      <c r="O65" t="s">
        <v>126</v>
      </c>
      <c r="P65" s="67">
        <v>65</v>
      </c>
      <c r="R65" s="67">
        <f t="shared" si="2"/>
        <v>65</v>
      </c>
      <c r="S65" s="65">
        <v>46143</v>
      </c>
      <c r="T65" s="67">
        <f t="shared" si="3"/>
        <v>9.75</v>
      </c>
      <c r="U65" s="66">
        <v>4</v>
      </c>
      <c r="V65" s="67">
        <f t="shared" si="4"/>
        <v>55.25</v>
      </c>
      <c r="W65" t="s">
        <v>66</v>
      </c>
      <c r="X65" t="s">
        <v>79</v>
      </c>
      <c r="Y65" t="s">
        <v>6</v>
      </c>
      <c r="Z65" t="s">
        <v>57</v>
      </c>
      <c r="AA65" t="s">
        <v>32</v>
      </c>
      <c r="AB65" s="66" t="s">
        <v>127</v>
      </c>
      <c r="AC65" t="s">
        <v>72</v>
      </c>
    </row>
    <row r="66" spans="1:29" x14ac:dyDescent="0.25">
      <c r="A66" t="s">
        <v>85</v>
      </c>
      <c r="B66" s="60">
        <v>46144</v>
      </c>
      <c r="C66" s="43">
        <f t="shared" ref="C66:C95" si="5">B66</f>
        <v>46144</v>
      </c>
      <c r="D66" s="61" t="str">
        <f t="shared" ref="D66:D95" si="6">TEXT(B66,"dddd")</f>
        <v>Saturday</v>
      </c>
      <c r="E66" s="62">
        <v>0.83333333333333337</v>
      </c>
      <c r="F66" s="62">
        <v>0.875</v>
      </c>
      <c r="G66" s="62">
        <v>3.4722222222222218E-4</v>
      </c>
      <c r="H66" t="s">
        <v>125</v>
      </c>
      <c r="I66" s="63" t="s">
        <v>98</v>
      </c>
      <c r="J66" t="s">
        <v>89</v>
      </c>
      <c r="L66">
        <v>1</v>
      </c>
      <c r="M66">
        <v>72934</v>
      </c>
      <c r="N66" t="s">
        <v>33</v>
      </c>
      <c r="O66" t="s">
        <v>126</v>
      </c>
      <c r="P66" s="67">
        <v>65</v>
      </c>
      <c r="R66" s="67">
        <f t="shared" ref="R66:R95" si="7">P66</f>
        <v>65</v>
      </c>
      <c r="S66" s="65">
        <v>46143</v>
      </c>
      <c r="T66" s="67">
        <f t="shared" ref="T66:T95" si="8">P66*0.15</f>
        <v>9.75</v>
      </c>
      <c r="U66" s="66">
        <v>4</v>
      </c>
      <c r="V66" s="67">
        <f t="shared" ref="V66:V95" si="9">P66-T66</f>
        <v>55.25</v>
      </c>
      <c r="W66" t="s">
        <v>66</v>
      </c>
      <c r="X66" t="s">
        <v>79</v>
      </c>
      <c r="Y66" t="s">
        <v>6</v>
      </c>
      <c r="Z66" t="s">
        <v>57</v>
      </c>
      <c r="AA66" t="s">
        <v>32</v>
      </c>
      <c r="AB66" s="66" t="s">
        <v>127</v>
      </c>
      <c r="AC66" t="s">
        <v>72</v>
      </c>
    </row>
    <row r="67" spans="1:29" x14ac:dyDescent="0.25">
      <c r="A67" t="s">
        <v>85</v>
      </c>
      <c r="B67" s="60">
        <v>46119</v>
      </c>
      <c r="C67" s="43">
        <f t="shared" si="5"/>
        <v>46119</v>
      </c>
      <c r="D67" s="61" t="str">
        <f t="shared" si="6"/>
        <v>Tuesday</v>
      </c>
      <c r="E67" s="62">
        <v>0.875</v>
      </c>
      <c r="F67" s="62">
        <v>0.97916666666666663</v>
      </c>
      <c r="G67" s="62">
        <v>3.4722222222222218E-4</v>
      </c>
      <c r="H67" t="s">
        <v>125</v>
      </c>
      <c r="I67" s="63" t="s">
        <v>141</v>
      </c>
      <c r="J67" t="s">
        <v>89</v>
      </c>
      <c r="L67">
        <v>1</v>
      </c>
      <c r="M67">
        <v>72935</v>
      </c>
      <c r="N67" t="s">
        <v>33</v>
      </c>
      <c r="O67" t="s">
        <v>126</v>
      </c>
      <c r="P67" s="67">
        <v>65</v>
      </c>
      <c r="R67" s="67">
        <f t="shared" si="7"/>
        <v>65</v>
      </c>
      <c r="S67" s="65">
        <v>46113</v>
      </c>
      <c r="T67" s="67">
        <f t="shared" si="8"/>
        <v>9.75</v>
      </c>
      <c r="U67" s="66">
        <v>4</v>
      </c>
      <c r="V67" s="67">
        <f t="shared" si="9"/>
        <v>55.25</v>
      </c>
      <c r="W67" t="s">
        <v>66</v>
      </c>
      <c r="X67" t="s">
        <v>79</v>
      </c>
      <c r="Y67" t="s">
        <v>6</v>
      </c>
      <c r="Z67" t="s">
        <v>57</v>
      </c>
      <c r="AA67" t="s">
        <v>32</v>
      </c>
      <c r="AB67" s="66" t="s">
        <v>127</v>
      </c>
      <c r="AC67" t="s">
        <v>72</v>
      </c>
    </row>
    <row r="68" spans="1:29" x14ac:dyDescent="0.25">
      <c r="A68" t="s">
        <v>85</v>
      </c>
      <c r="B68" s="60">
        <v>46134</v>
      </c>
      <c r="C68" s="43">
        <f t="shared" si="5"/>
        <v>46134</v>
      </c>
      <c r="D68" s="61" t="str">
        <f t="shared" si="6"/>
        <v>Wednesday</v>
      </c>
      <c r="E68" s="62">
        <v>0.875</v>
      </c>
      <c r="F68" s="62">
        <v>0.97916666666666663</v>
      </c>
      <c r="G68" s="62">
        <v>3.4722222222222218E-4</v>
      </c>
      <c r="H68" t="s">
        <v>125</v>
      </c>
      <c r="I68" s="63" t="s">
        <v>142</v>
      </c>
      <c r="J68" t="s">
        <v>89</v>
      </c>
      <c r="L68">
        <v>1</v>
      </c>
      <c r="M68">
        <v>72935</v>
      </c>
      <c r="N68" t="s">
        <v>33</v>
      </c>
      <c r="O68" t="s">
        <v>126</v>
      </c>
      <c r="P68" s="67">
        <v>65</v>
      </c>
      <c r="R68" s="67">
        <f t="shared" si="7"/>
        <v>65</v>
      </c>
      <c r="S68" s="65">
        <v>46113</v>
      </c>
      <c r="T68" s="67">
        <f t="shared" si="8"/>
        <v>9.75</v>
      </c>
      <c r="U68" s="66">
        <v>4</v>
      </c>
      <c r="V68" s="67">
        <f t="shared" si="9"/>
        <v>55.25</v>
      </c>
      <c r="W68" t="s">
        <v>66</v>
      </c>
      <c r="X68" t="s">
        <v>79</v>
      </c>
      <c r="Y68" t="s">
        <v>6</v>
      </c>
      <c r="Z68" t="s">
        <v>57</v>
      </c>
      <c r="AA68" t="s">
        <v>32</v>
      </c>
      <c r="AB68" s="66" t="s">
        <v>127</v>
      </c>
      <c r="AC68" t="s">
        <v>72</v>
      </c>
    </row>
    <row r="69" spans="1:29" x14ac:dyDescent="0.25">
      <c r="A69" t="s">
        <v>85</v>
      </c>
      <c r="B69" s="60">
        <v>46126</v>
      </c>
      <c r="C69" s="43">
        <f t="shared" si="5"/>
        <v>46126</v>
      </c>
      <c r="D69" s="61" t="str">
        <f t="shared" si="6"/>
        <v>Tuesday</v>
      </c>
      <c r="E69" s="62">
        <v>0.875</v>
      </c>
      <c r="F69" s="62">
        <v>0.97916666666666663</v>
      </c>
      <c r="G69" s="62">
        <v>3.4722222222222218E-4</v>
      </c>
      <c r="H69" t="s">
        <v>125</v>
      </c>
      <c r="I69" s="63" t="s">
        <v>117</v>
      </c>
      <c r="J69" t="s">
        <v>89</v>
      </c>
      <c r="L69">
        <v>1</v>
      </c>
      <c r="M69">
        <v>72935</v>
      </c>
      <c r="N69" t="s">
        <v>33</v>
      </c>
      <c r="O69" t="s">
        <v>126</v>
      </c>
      <c r="P69" s="67">
        <v>65</v>
      </c>
      <c r="R69" s="67">
        <f t="shared" si="7"/>
        <v>65</v>
      </c>
      <c r="S69" s="65">
        <v>46113</v>
      </c>
      <c r="T69" s="67">
        <f t="shared" si="8"/>
        <v>9.75</v>
      </c>
      <c r="U69" s="66">
        <v>4</v>
      </c>
      <c r="V69" s="67">
        <f t="shared" si="9"/>
        <v>55.25</v>
      </c>
      <c r="W69" t="s">
        <v>66</v>
      </c>
      <c r="X69" t="s">
        <v>79</v>
      </c>
      <c r="Y69" t="s">
        <v>6</v>
      </c>
      <c r="Z69" t="s">
        <v>57</v>
      </c>
      <c r="AA69" t="s">
        <v>32</v>
      </c>
      <c r="AB69" s="66" t="s">
        <v>127</v>
      </c>
      <c r="AC69" t="s">
        <v>72</v>
      </c>
    </row>
    <row r="70" spans="1:29" x14ac:dyDescent="0.25">
      <c r="A70" t="s">
        <v>85</v>
      </c>
      <c r="B70" s="60">
        <v>46127</v>
      </c>
      <c r="C70" s="43">
        <f t="shared" si="5"/>
        <v>46127</v>
      </c>
      <c r="D70" s="61" t="str">
        <f t="shared" si="6"/>
        <v>Wednesday</v>
      </c>
      <c r="E70" s="62">
        <v>0.875</v>
      </c>
      <c r="F70" s="62">
        <v>0.97916666666666663</v>
      </c>
      <c r="G70" s="62">
        <v>3.4722222222222218E-4</v>
      </c>
      <c r="H70" t="s">
        <v>125</v>
      </c>
      <c r="I70" s="63" t="s">
        <v>143</v>
      </c>
      <c r="J70" t="s">
        <v>89</v>
      </c>
      <c r="L70">
        <v>1</v>
      </c>
      <c r="M70">
        <v>72935</v>
      </c>
      <c r="N70" t="s">
        <v>33</v>
      </c>
      <c r="O70" t="s">
        <v>126</v>
      </c>
      <c r="P70" s="67">
        <v>65</v>
      </c>
      <c r="R70" s="67">
        <f t="shared" si="7"/>
        <v>65</v>
      </c>
      <c r="S70" s="65">
        <v>46113</v>
      </c>
      <c r="T70" s="67">
        <f t="shared" si="8"/>
        <v>9.75</v>
      </c>
      <c r="U70" s="66">
        <v>4</v>
      </c>
      <c r="V70" s="67">
        <f t="shared" si="9"/>
        <v>55.25</v>
      </c>
      <c r="W70" t="s">
        <v>66</v>
      </c>
      <c r="X70" t="s">
        <v>79</v>
      </c>
      <c r="Y70" t="s">
        <v>6</v>
      </c>
      <c r="Z70" t="s">
        <v>57</v>
      </c>
      <c r="AA70" t="s">
        <v>32</v>
      </c>
      <c r="AB70" s="66" t="s">
        <v>127</v>
      </c>
      <c r="AC70" t="s">
        <v>72</v>
      </c>
    </row>
    <row r="71" spans="1:29" x14ac:dyDescent="0.25">
      <c r="A71" t="s">
        <v>85</v>
      </c>
      <c r="B71" s="60">
        <v>46136</v>
      </c>
      <c r="C71" s="43">
        <f t="shared" si="5"/>
        <v>46136</v>
      </c>
      <c r="D71" s="61" t="str">
        <f t="shared" si="6"/>
        <v>Friday</v>
      </c>
      <c r="E71" s="62">
        <v>0.875</v>
      </c>
      <c r="F71" s="62">
        <v>0.97916666666666663</v>
      </c>
      <c r="G71" s="62">
        <v>3.4722222222222218E-4</v>
      </c>
      <c r="H71" t="s">
        <v>125</v>
      </c>
      <c r="I71" s="63" t="s">
        <v>144</v>
      </c>
      <c r="J71" t="s">
        <v>89</v>
      </c>
      <c r="L71">
        <v>1</v>
      </c>
      <c r="M71">
        <v>72935</v>
      </c>
      <c r="N71" t="s">
        <v>33</v>
      </c>
      <c r="O71" t="s">
        <v>126</v>
      </c>
      <c r="P71" s="67">
        <v>65</v>
      </c>
      <c r="R71" s="67">
        <f t="shared" si="7"/>
        <v>65</v>
      </c>
      <c r="S71" s="65">
        <v>46113</v>
      </c>
      <c r="T71" s="67">
        <f t="shared" si="8"/>
        <v>9.75</v>
      </c>
      <c r="U71" s="66">
        <v>4</v>
      </c>
      <c r="V71" s="67">
        <f t="shared" si="9"/>
        <v>55.25</v>
      </c>
      <c r="W71" t="s">
        <v>66</v>
      </c>
      <c r="X71" t="s">
        <v>79</v>
      </c>
      <c r="Y71" t="s">
        <v>6</v>
      </c>
      <c r="Z71" t="s">
        <v>57</v>
      </c>
      <c r="AA71" t="s">
        <v>32</v>
      </c>
      <c r="AB71" s="66" t="s">
        <v>127</v>
      </c>
      <c r="AC71" t="s">
        <v>72</v>
      </c>
    </row>
    <row r="72" spans="1:29" x14ac:dyDescent="0.25">
      <c r="A72" t="s">
        <v>85</v>
      </c>
      <c r="B72" s="60">
        <v>46122</v>
      </c>
      <c r="C72" s="43">
        <f t="shared" si="5"/>
        <v>46122</v>
      </c>
      <c r="D72" s="61" t="str">
        <f t="shared" si="6"/>
        <v>Friday</v>
      </c>
      <c r="E72" s="62">
        <v>0.875</v>
      </c>
      <c r="F72" s="62">
        <v>0.97916666666666663</v>
      </c>
      <c r="G72" s="62">
        <v>3.4722222222222218E-4</v>
      </c>
      <c r="H72" t="s">
        <v>125</v>
      </c>
      <c r="I72" s="63" t="s">
        <v>145</v>
      </c>
      <c r="J72" t="s">
        <v>89</v>
      </c>
      <c r="L72">
        <v>1</v>
      </c>
      <c r="M72">
        <v>72935</v>
      </c>
      <c r="N72" t="s">
        <v>33</v>
      </c>
      <c r="O72" t="s">
        <v>126</v>
      </c>
      <c r="P72" s="67">
        <v>65</v>
      </c>
      <c r="R72" s="67">
        <f t="shared" si="7"/>
        <v>65</v>
      </c>
      <c r="S72" s="65">
        <v>46113</v>
      </c>
      <c r="T72" s="67">
        <f t="shared" si="8"/>
        <v>9.75</v>
      </c>
      <c r="U72" s="66">
        <v>4</v>
      </c>
      <c r="V72" s="67">
        <f t="shared" si="9"/>
        <v>55.25</v>
      </c>
      <c r="W72" t="s">
        <v>66</v>
      </c>
      <c r="X72" t="s">
        <v>79</v>
      </c>
      <c r="Y72" t="s">
        <v>6</v>
      </c>
      <c r="Z72" t="s">
        <v>57</v>
      </c>
      <c r="AA72" t="s">
        <v>32</v>
      </c>
      <c r="AB72" s="66" t="s">
        <v>127</v>
      </c>
      <c r="AC72" t="s">
        <v>72</v>
      </c>
    </row>
    <row r="73" spans="1:29" x14ac:dyDescent="0.25">
      <c r="A73" t="s">
        <v>85</v>
      </c>
      <c r="B73" s="60">
        <v>46128</v>
      </c>
      <c r="C73" s="43">
        <f t="shared" si="5"/>
        <v>46128</v>
      </c>
      <c r="D73" s="61" t="str">
        <f t="shared" si="6"/>
        <v>Thursday</v>
      </c>
      <c r="E73" s="62">
        <v>0.875</v>
      </c>
      <c r="F73" s="62">
        <v>0.97916666666666663</v>
      </c>
      <c r="G73" s="62">
        <v>3.4722222222222218E-4</v>
      </c>
      <c r="H73" t="s">
        <v>125</v>
      </c>
      <c r="I73" s="63" t="s">
        <v>146</v>
      </c>
      <c r="J73" t="s">
        <v>89</v>
      </c>
      <c r="L73">
        <v>1</v>
      </c>
      <c r="M73">
        <v>72935</v>
      </c>
      <c r="N73" t="s">
        <v>33</v>
      </c>
      <c r="O73" t="s">
        <v>126</v>
      </c>
      <c r="P73" s="67">
        <v>65</v>
      </c>
      <c r="R73" s="67">
        <f t="shared" si="7"/>
        <v>65</v>
      </c>
      <c r="S73" s="65">
        <v>46113</v>
      </c>
      <c r="T73" s="67">
        <f t="shared" si="8"/>
        <v>9.75</v>
      </c>
      <c r="U73" s="66">
        <v>4</v>
      </c>
      <c r="V73" s="67">
        <f t="shared" si="9"/>
        <v>55.25</v>
      </c>
      <c r="W73" t="s">
        <v>66</v>
      </c>
      <c r="X73" t="s">
        <v>79</v>
      </c>
      <c r="Y73" t="s">
        <v>6</v>
      </c>
      <c r="Z73" t="s">
        <v>57</v>
      </c>
      <c r="AA73" t="s">
        <v>32</v>
      </c>
      <c r="AB73" s="66" t="s">
        <v>127</v>
      </c>
      <c r="AC73" t="s">
        <v>72</v>
      </c>
    </row>
    <row r="74" spans="1:29" x14ac:dyDescent="0.25">
      <c r="A74" t="s">
        <v>85</v>
      </c>
      <c r="B74" s="60">
        <v>46133</v>
      </c>
      <c r="C74" s="43">
        <f t="shared" si="5"/>
        <v>46133</v>
      </c>
      <c r="D74" s="61" t="str">
        <f t="shared" si="6"/>
        <v>Tuesday</v>
      </c>
      <c r="E74" s="62">
        <v>0.875</v>
      </c>
      <c r="F74" s="62">
        <v>0.97916666666666663</v>
      </c>
      <c r="G74" s="62">
        <v>3.4722222222222218E-4</v>
      </c>
      <c r="H74" t="s">
        <v>125</v>
      </c>
      <c r="I74" s="63" t="s">
        <v>147</v>
      </c>
      <c r="J74" t="s">
        <v>89</v>
      </c>
      <c r="L74">
        <v>1</v>
      </c>
      <c r="M74">
        <v>72935</v>
      </c>
      <c r="N74" t="s">
        <v>33</v>
      </c>
      <c r="O74" t="s">
        <v>126</v>
      </c>
      <c r="P74" s="67">
        <v>65</v>
      </c>
      <c r="R74" s="67">
        <f t="shared" si="7"/>
        <v>65</v>
      </c>
      <c r="S74" s="65">
        <v>46113</v>
      </c>
      <c r="T74" s="67">
        <f t="shared" si="8"/>
        <v>9.75</v>
      </c>
      <c r="U74" s="66">
        <v>4</v>
      </c>
      <c r="V74" s="67">
        <f t="shared" si="9"/>
        <v>55.25</v>
      </c>
      <c r="W74" t="s">
        <v>66</v>
      </c>
      <c r="X74" t="s">
        <v>79</v>
      </c>
      <c r="Y74" t="s">
        <v>6</v>
      </c>
      <c r="Z74" t="s">
        <v>57</v>
      </c>
      <c r="AA74" t="s">
        <v>32</v>
      </c>
      <c r="AB74" s="66" t="s">
        <v>127</v>
      </c>
      <c r="AC74" t="s">
        <v>72</v>
      </c>
    </row>
    <row r="75" spans="1:29" x14ac:dyDescent="0.25">
      <c r="A75" t="s">
        <v>85</v>
      </c>
      <c r="B75" s="60">
        <v>46118</v>
      </c>
      <c r="C75" s="43">
        <f t="shared" si="5"/>
        <v>46118</v>
      </c>
      <c r="D75" s="61" t="str">
        <f t="shared" si="6"/>
        <v>Monday</v>
      </c>
      <c r="E75" s="62">
        <v>0.875</v>
      </c>
      <c r="F75" s="62">
        <v>0.97916666666666663</v>
      </c>
      <c r="G75" s="62">
        <v>3.4722222222222218E-4</v>
      </c>
      <c r="H75" t="s">
        <v>125</v>
      </c>
      <c r="I75" s="63" t="s">
        <v>148</v>
      </c>
      <c r="J75" t="s">
        <v>89</v>
      </c>
      <c r="L75">
        <v>1</v>
      </c>
      <c r="M75">
        <v>72935</v>
      </c>
      <c r="N75" t="s">
        <v>33</v>
      </c>
      <c r="O75" t="s">
        <v>126</v>
      </c>
      <c r="P75" s="67">
        <v>65</v>
      </c>
      <c r="R75" s="67">
        <f t="shared" si="7"/>
        <v>65</v>
      </c>
      <c r="S75" s="65">
        <v>46113</v>
      </c>
      <c r="T75" s="67">
        <f t="shared" si="8"/>
        <v>9.75</v>
      </c>
      <c r="U75" s="66">
        <v>4</v>
      </c>
      <c r="V75" s="67">
        <f t="shared" si="9"/>
        <v>55.25</v>
      </c>
      <c r="W75" t="s">
        <v>66</v>
      </c>
      <c r="X75" t="s">
        <v>79</v>
      </c>
      <c r="Y75" t="s">
        <v>6</v>
      </c>
      <c r="Z75" t="s">
        <v>57</v>
      </c>
      <c r="AA75" t="s">
        <v>32</v>
      </c>
      <c r="AB75" s="66" t="s">
        <v>127</v>
      </c>
      <c r="AC75" t="s">
        <v>72</v>
      </c>
    </row>
    <row r="76" spans="1:29" x14ac:dyDescent="0.25">
      <c r="A76" t="s">
        <v>85</v>
      </c>
      <c r="B76" s="60">
        <v>46142</v>
      </c>
      <c r="C76" s="43">
        <f t="shared" si="5"/>
        <v>46142</v>
      </c>
      <c r="D76" s="61" t="str">
        <f t="shared" si="6"/>
        <v>Thursday</v>
      </c>
      <c r="E76" s="62">
        <v>0.875</v>
      </c>
      <c r="F76" s="62">
        <v>0.97916666666666663</v>
      </c>
      <c r="G76" s="62">
        <v>3.4722222222222218E-4</v>
      </c>
      <c r="H76" t="s">
        <v>125</v>
      </c>
      <c r="I76" s="63" t="s">
        <v>142</v>
      </c>
      <c r="J76" t="s">
        <v>89</v>
      </c>
      <c r="L76">
        <v>1</v>
      </c>
      <c r="M76">
        <v>72936</v>
      </c>
      <c r="N76" t="s">
        <v>33</v>
      </c>
      <c r="O76" t="s">
        <v>126</v>
      </c>
      <c r="P76" s="67">
        <v>65</v>
      </c>
      <c r="R76" s="67">
        <f t="shared" si="7"/>
        <v>65</v>
      </c>
      <c r="S76" s="65">
        <v>46143</v>
      </c>
      <c r="T76" s="67">
        <f t="shared" si="8"/>
        <v>9.75</v>
      </c>
      <c r="U76" s="66">
        <v>4</v>
      </c>
      <c r="V76" s="67">
        <f t="shared" si="9"/>
        <v>55.25</v>
      </c>
      <c r="W76" t="s">
        <v>66</v>
      </c>
      <c r="X76" t="s">
        <v>79</v>
      </c>
      <c r="Y76" t="s">
        <v>6</v>
      </c>
      <c r="Z76" t="s">
        <v>57</v>
      </c>
      <c r="AA76" t="s">
        <v>32</v>
      </c>
      <c r="AB76" s="66" t="s">
        <v>127</v>
      </c>
      <c r="AC76" t="s">
        <v>72</v>
      </c>
    </row>
    <row r="77" spans="1:29" x14ac:dyDescent="0.25">
      <c r="A77" t="s">
        <v>85</v>
      </c>
      <c r="B77" s="60">
        <v>46143</v>
      </c>
      <c r="C77" s="43">
        <f t="shared" si="5"/>
        <v>46143</v>
      </c>
      <c r="D77" s="61" t="str">
        <f t="shared" si="6"/>
        <v>Friday</v>
      </c>
      <c r="E77" s="62">
        <v>0.875</v>
      </c>
      <c r="F77" s="62">
        <v>0.97916666666666663</v>
      </c>
      <c r="G77" s="62">
        <v>3.4722222222222218E-4</v>
      </c>
      <c r="H77" t="s">
        <v>125</v>
      </c>
      <c r="I77" s="63" t="s">
        <v>99</v>
      </c>
      <c r="J77" t="s">
        <v>89</v>
      </c>
      <c r="L77">
        <v>1</v>
      </c>
      <c r="M77">
        <v>72936</v>
      </c>
      <c r="N77" t="s">
        <v>33</v>
      </c>
      <c r="O77" t="s">
        <v>126</v>
      </c>
      <c r="P77" s="67">
        <v>65</v>
      </c>
      <c r="R77" s="67">
        <f t="shared" si="7"/>
        <v>65</v>
      </c>
      <c r="S77" s="65">
        <v>46143</v>
      </c>
      <c r="T77" s="67">
        <f t="shared" si="8"/>
        <v>9.75</v>
      </c>
      <c r="U77" s="66">
        <v>4</v>
      </c>
      <c r="V77" s="67">
        <f t="shared" si="9"/>
        <v>55.25</v>
      </c>
      <c r="W77" t="s">
        <v>66</v>
      </c>
      <c r="X77" t="s">
        <v>79</v>
      </c>
      <c r="Y77" t="s">
        <v>6</v>
      </c>
      <c r="Z77" t="s">
        <v>57</v>
      </c>
      <c r="AA77" t="s">
        <v>32</v>
      </c>
      <c r="AB77" s="66" t="s">
        <v>127</v>
      </c>
      <c r="AC77" t="s">
        <v>72</v>
      </c>
    </row>
    <row r="78" spans="1:29" x14ac:dyDescent="0.25">
      <c r="A78" t="s">
        <v>85</v>
      </c>
      <c r="B78" s="60">
        <v>46140</v>
      </c>
      <c r="C78" s="43">
        <f t="shared" si="5"/>
        <v>46140</v>
      </c>
      <c r="D78" s="61" t="str">
        <f t="shared" si="6"/>
        <v>Tuesday</v>
      </c>
      <c r="E78" s="62">
        <v>0.875</v>
      </c>
      <c r="F78" s="62">
        <v>0.97916666666666663</v>
      </c>
      <c r="G78" s="62">
        <v>3.4722222222222218E-4</v>
      </c>
      <c r="H78" t="s">
        <v>125</v>
      </c>
      <c r="I78" s="63" t="s">
        <v>117</v>
      </c>
      <c r="J78" t="s">
        <v>89</v>
      </c>
      <c r="L78">
        <v>1</v>
      </c>
      <c r="M78">
        <v>72936</v>
      </c>
      <c r="N78" t="s">
        <v>33</v>
      </c>
      <c r="O78" t="s">
        <v>126</v>
      </c>
      <c r="P78" s="67">
        <v>65</v>
      </c>
      <c r="R78" s="67">
        <f t="shared" si="7"/>
        <v>65</v>
      </c>
      <c r="S78" s="65">
        <v>46143</v>
      </c>
      <c r="T78" s="67">
        <f t="shared" si="8"/>
        <v>9.75</v>
      </c>
      <c r="U78" s="66">
        <v>4</v>
      </c>
      <c r="V78" s="67">
        <f t="shared" si="9"/>
        <v>55.25</v>
      </c>
      <c r="W78" t="s">
        <v>66</v>
      </c>
      <c r="X78" t="s">
        <v>79</v>
      </c>
      <c r="Y78" t="s">
        <v>6</v>
      </c>
      <c r="Z78" t="s">
        <v>57</v>
      </c>
      <c r="AA78" t="s">
        <v>32</v>
      </c>
      <c r="AB78" s="66" t="s">
        <v>127</v>
      </c>
      <c r="AC78" t="s">
        <v>72</v>
      </c>
    </row>
    <row r="79" spans="1:29" x14ac:dyDescent="0.25">
      <c r="A79" t="s">
        <v>85</v>
      </c>
      <c r="B79" s="60">
        <v>46141</v>
      </c>
      <c r="C79" s="43">
        <f t="shared" si="5"/>
        <v>46141</v>
      </c>
      <c r="D79" s="61" t="str">
        <f t="shared" si="6"/>
        <v>Wednesday</v>
      </c>
      <c r="E79" s="62">
        <v>0.875</v>
      </c>
      <c r="F79" s="62">
        <v>0.97916666666666663</v>
      </c>
      <c r="G79" s="62">
        <v>3.4722222222222218E-4</v>
      </c>
      <c r="H79" t="s">
        <v>125</v>
      </c>
      <c r="I79" s="63" t="s">
        <v>138</v>
      </c>
      <c r="J79" t="s">
        <v>89</v>
      </c>
      <c r="L79">
        <v>1</v>
      </c>
      <c r="M79">
        <v>72936</v>
      </c>
      <c r="N79" t="s">
        <v>33</v>
      </c>
      <c r="O79" t="s">
        <v>126</v>
      </c>
      <c r="P79" s="67">
        <v>65</v>
      </c>
      <c r="R79" s="67">
        <f t="shared" si="7"/>
        <v>65</v>
      </c>
      <c r="S79" s="65">
        <v>46143</v>
      </c>
      <c r="T79" s="67">
        <f t="shared" si="8"/>
        <v>9.75</v>
      </c>
      <c r="U79" s="66">
        <v>4</v>
      </c>
      <c r="V79" s="67">
        <f t="shared" si="9"/>
        <v>55.25</v>
      </c>
      <c r="W79" t="s">
        <v>66</v>
      </c>
      <c r="X79" t="s">
        <v>79</v>
      </c>
      <c r="Y79" t="s">
        <v>6</v>
      </c>
      <c r="Z79" t="s">
        <v>57</v>
      </c>
      <c r="AA79" t="s">
        <v>32</v>
      </c>
      <c r="AB79" s="66" t="s">
        <v>127</v>
      </c>
      <c r="AC79" t="s">
        <v>72</v>
      </c>
    </row>
    <row r="80" spans="1:29" x14ac:dyDescent="0.25">
      <c r="A80" t="s">
        <v>85</v>
      </c>
      <c r="B80" s="60">
        <v>46124</v>
      </c>
      <c r="C80" s="43">
        <f t="shared" si="5"/>
        <v>46124</v>
      </c>
      <c r="D80" s="61" t="str">
        <f t="shared" si="6"/>
        <v>Sunday</v>
      </c>
      <c r="E80" s="62">
        <v>0.875</v>
      </c>
      <c r="F80" s="62">
        <v>0.99930555555555556</v>
      </c>
      <c r="G80" s="62">
        <v>3.4722222222222218E-4</v>
      </c>
      <c r="H80" t="s">
        <v>125</v>
      </c>
      <c r="I80" s="63" t="s">
        <v>149</v>
      </c>
      <c r="J80" t="s">
        <v>89</v>
      </c>
      <c r="L80">
        <v>1</v>
      </c>
      <c r="M80">
        <v>72937</v>
      </c>
      <c r="N80" t="s">
        <v>33</v>
      </c>
      <c r="O80" t="s">
        <v>126</v>
      </c>
      <c r="P80" s="67">
        <v>65</v>
      </c>
      <c r="R80" s="67">
        <f t="shared" si="7"/>
        <v>65</v>
      </c>
      <c r="S80" s="65">
        <v>46113</v>
      </c>
      <c r="T80" s="67">
        <f t="shared" si="8"/>
        <v>9.75</v>
      </c>
      <c r="U80" s="66">
        <v>4</v>
      </c>
      <c r="V80" s="67">
        <f t="shared" si="9"/>
        <v>55.25</v>
      </c>
      <c r="W80" t="s">
        <v>66</v>
      </c>
      <c r="X80" t="s">
        <v>79</v>
      </c>
      <c r="Y80" t="s">
        <v>6</v>
      </c>
      <c r="Z80" t="s">
        <v>57</v>
      </c>
      <c r="AA80" t="s">
        <v>32</v>
      </c>
      <c r="AB80" s="66" t="s">
        <v>127</v>
      </c>
      <c r="AC80" t="s">
        <v>72</v>
      </c>
    </row>
    <row r="81" spans="1:29" x14ac:dyDescent="0.25">
      <c r="A81" t="s">
        <v>85</v>
      </c>
      <c r="B81" s="60">
        <v>46131</v>
      </c>
      <c r="C81" s="43">
        <f t="shared" si="5"/>
        <v>46131</v>
      </c>
      <c r="D81" s="61" t="str">
        <f t="shared" si="6"/>
        <v>Sunday</v>
      </c>
      <c r="E81" s="62">
        <v>0.875</v>
      </c>
      <c r="F81" s="62">
        <v>0.99930555555555556</v>
      </c>
      <c r="G81" s="62">
        <v>3.4722222222222218E-4</v>
      </c>
      <c r="H81" t="s">
        <v>125</v>
      </c>
      <c r="I81" s="63" t="s">
        <v>150</v>
      </c>
      <c r="J81" t="s">
        <v>89</v>
      </c>
      <c r="L81">
        <v>1</v>
      </c>
      <c r="M81">
        <v>72937</v>
      </c>
      <c r="N81" t="s">
        <v>33</v>
      </c>
      <c r="O81" t="s">
        <v>126</v>
      </c>
      <c r="P81" s="67">
        <v>65</v>
      </c>
      <c r="R81" s="67">
        <f t="shared" si="7"/>
        <v>65</v>
      </c>
      <c r="S81" s="65">
        <v>46113</v>
      </c>
      <c r="T81" s="67">
        <f t="shared" si="8"/>
        <v>9.75</v>
      </c>
      <c r="U81" s="66">
        <v>4</v>
      </c>
      <c r="V81" s="67">
        <f t="shared" si="9"/>
        <v>55.25</v>
      </c>
      <c r="W81" t="s">
        <v>66</v>
      </c>
      <c r="X81" t="s">
        <v>79</v>
      </c>
      <c r="Y81" t="s">
        <v>6</v>
      </c>
      <c r="Z81" t="s">
        <v>57</v>
      </c>
      <c r="AA81" t="s">
        <v>32</v>
      </c>
      <c r="AB81" s="66" t="s">
        <v>127</v>
      </c>
      <c r="AC81" t="s">
        <v>72</v>
      </c>
    </row>
    <row r="82" spans="1:29" x14ac:dyDescent="0.25">
      <c r="A82" t="s">
        <v>85</v>
      </c>
      <c r="B82" s="60">
        <v>46144</v>
      </c>
      <c r="C82" s="43">
        <f t="shared" si="5"/>
        <v>46144</v>
      </c>
      <c r="D82" s="61" t="str">
        <f t="shared" si="6"/>
        <v>Saturday</v>
      </c>
      <c r="E82" s="62">
        <v>0.875</v>
      </c>
      <c r="F82" s="62">
        <v>0.99930555555555556</v>
      </c>
      <c r="G82" s="62">
        <v>3.4722222222222218E-4</v>
      </c>
      <c r="H82" t="s">
        <v>125</v>
      </c>
      <c r="I82" s="63" t="s">
        <v>138</v>
      </c>
      <c r="J82" t="s">
        <v>89</v>
      </c>
      <c r="L82">
        <v>1</v>
      </c>
      <c r="M82">
        <v>72937</v>
      </c>
      <c r="N82" t="s">
        <v>33</v>
      </c>
      <c r="O82" t="s">
        <v>126</v>
      </c>
      <c r="P82" s="67">
        <v>65</v>
      </c>
      <c r="R82" s="67">
        <f t="shared" si="7"/>
        <v>65</v>
      </c>
      <c r="S82" s="65">
        <v>46143</v>
      </c>
      <c r="T82" s="67">
        <f t="shared" si="8"/>
        <v>9.75</v>
      </c>
      <c r="U82" s="66">
        <v>4</v>
      </c>
      <c r="V82" s="67">
        <f t="shared" si="9"/>
        <v>55.25</v>
      </c>
      <c r="W82" t="s">
        <v>66</v>
      </c>
      <c r="X82" t="s">
        <v>79</v>
      </c>
      <c r="Y82" t="s">
        <v>6</v>
      </c>
      <c r="Z82" t="s">
        <v>57</v>
      </c>
      <c r="AA82" t="s">
        <v>32</v>
      </c>
      <c r="AB82" s="66" t="s">
        <v>127</v>
      </c>
      <c r="AC82" t="s">
        <v>72</v>
      </c>
    </row>
    <row r="83" spans="1:29" x14ac:dyDescent="0.25">
      <c r="A83" t="s">
        <v>85</v>
      </c>
      <c r="B83" s="60">
        <v>46137</v>
      </c>
      <c r="C83" s="43">
        <f t="shared" si="5"/>
        <v>46137</v>
      </c>
      <c r="D83" s="61" t="str">
        <f t="shared" si="6"/>
        <v>Saturday</v>
      </c>
      <c r="E83" s="62">
        <v>0.875</v>
      </c>
      <c r="F83" s="62">
        <v>0.99930555555555556</v>
      </c>
      <c r="G83" s="62">
        <v>3.4722222222222218E-4</v>
      </c>
      <c r="H83" t="s">
        <v>125</v>
      </c>
      <c r="I83" s="63" t="s">
        <v>151</v>
      </c>
      <c r="J83" t="s">
        <v>89</v>
      </c>
      <c r="L83">
        <v>1</v>
      </c>
      <c r="M83">
        <v>72937</v>
      </c>
      <c r="N83" t="s">
        <v>33</v>
      </c>
      <c r="O83" t="s">
        <v>126</v>
      </c>
      <c r="P83" s="67">
        <v>65</v>
      </c>
      <c r="R83" s="67">
        <f t="shared" si="7"/>
        <v>65</v>
      </c>
      <c r="S83" s="65">
        <v>46113</v>
      </c>
      <c r="T83" s="67">
        <f t="shared" si="8"/>
        <v>9.75</v>
      </c>
      <c r="U83" s="66">
        <v>4</v>
      </c>
      <c r="V83" s="67">
        <f t="shared" si="9"/>
        <v>55.25</v>
      </c>
      <c r="W83" t="s">
        <v>66</v>
      </c>
      <c r="X83" t="s">
        <v>79</v>
      </c>
      <c r="Y83" t="s">
        <v>6</v>
      </c>
      <c r="Z83" t="s">
        <v>57</v>
      </c>
      <c r="AA83" t="s">
        <v>32</v>
      </c>
      <c r="AB83" s="66" t="s">
        <v>127</v>
      </c>
      <c r="AC83" t="s">
        <v>72</v>
      </c>
    </row>
    <row r="84" spans="1:29" x14ac:dyDescent="0.25">
      <c r="A84" t="s">
        <v>85</v>
      </c>
      <c r="B84" s="60">
        <v>46114</v>
      </c>
      <c r="C84" s="43">
        <f t="shared" si="5"/>
        <v>46114</v>
      </c>
      <c r="D84" s="61" t="str">
        <f t="shared" si="6"/>
        <v>Thursday</v>
      </c>
      <c r="E84" s="62">
        <v>0.54166666666666663</v>
      </c>
      <c r="F84" s="62">
        <v>0.58333333333333337</v>
      </c>
      <c r="G84" s="62">
        <v>3.4722222222222218E-4</v>
      </c>
      <c r="H84" t="s">
        <v>125</v>
      </c>
      <c r="I84" s="63" t="s">
        <v>115</v>
      </c>
      <c r="J84" t="s">
        <v>86</v>
      </c>
      <c r="L84">
        <v>1</v>
      </c>
      <c r="M84">
        <v>72938</v>
      </c>
      <c r="N84" t="s">
        <v>33</v>
      </c>
      <c r="O84" t="s">
        <v>126</v>
      </c>
      <c r="P84" s="67">
        <v>50</v>
      </c>
      <c r="R84" s="67">
        <f t="shared" si="7"/>
        <v>50</v>
      </c>
      <c r="S84" s="65">
        <v>46113</v>
      </c>
      <c r="T84" s="67">
        <f t="shared" si="8"/>
        <v>7.5</v>
      </c>
      <c r="U84" s="66">
        <v>4</v>
      </c>
      <c r="V84" s="67">
        <f t="shared" si="9"/>
        <v>42.5</v>
      </c>
      <c r="W84" t="s">
        <v>66</v>
      </c>
      <c r="X84" t="s">
        <v>79</v>
      </c>
      <c r="Y84" t="s">
        <v>6</v>
      </c>
      <c r="Z84" t="s">
        <v>57</v>
      </c>
      <c r="AA84" t="s">
        <v>32</v>
      </c>
      <c r="AB84" s="66" t="s">
        <v>127</v>
      </c>
      <c r="AC84" t="s">
        <v>72</v>
      </c>
    </row>
    <row r="85" spans="1:29" x14ac:dyDescent="0.25">
      <c r="A85" t="s">
        <v>85</v>
      </c>
      <c r="B85" s="60">
        <v>46113</v>
      </c>
      <c r="C85" s="43">
        <f t="shared" si="5"/>
        <v>46113</v>
      </c>
      <c r="D85" s="61" t="str">
        <f t="shared" si="6"/>
        <v>Wednesday</v>
      </c>
      <c r="E85" s="62">
        <v>0.54166666666666663</v>
      </c>
      <c r="F85" s="62">
        <v>0.58333333333333337</v>
      </c>
      <c r="G85" s="62">
        <v>3.4722222222222218E-4</v>
      </c>
      <c r="H85" t="s">
        <v>125</v>
      </c>
      <c r="I85" s="63" t="s">
        <v>103</v>
      </c>
      <c r="J85" t="s">
        <v>86</v>
      </c>
      <c r="L85">
        <v>1</v>
      </c>
      <c r="M85">
        <v>72938</v>
      </c>
      <c r="N85" t="s">
        <v>33</v>
      </c>
      <c r="O85" t="s">
        <v>126</v>
      </c>
      <c r="P85" s="67">
        <v>50</v>
      </c>
      <c r="R85" s="67">
        <f t="shared" si="7"/>
        <v>50</v>
      </c>
      <c r="S85" s="65">
        <v>46113</v>
      </c>
      <c r="T85" s="67">
        <f t="shared" si="8"/>
        <v>7.5</v>
      </c>
      <c r="U85" s="66">
        <v>4</v>
      </c>
      <c r="V85" s="67">
        <f t="shared" si="9"/>
        <v>42.5</v>
      </c>
      <c r="W85" t="s">
        <v>66</v>
      </c>
      <c r="X85" t="s">
        <v>79</v>
      </c>
      <c r="Y85" t="s">
        <v>6</v>
      </c>
      <c r="Z85" t="s">
        <v>57</v>
      </c>
      <c r="AA85" t="s">
        <v>32</v>
      </c>
      <c r="AB85" s="66" t="s">
        <v>127</v>
      </c>
      <c r="AC85" t="s">
        <v>72</v>
      </c>
    </row>
    <row r="86" spans="1:29" x14ac:dyDescent="0.25">
      <c r="A86" t="s">
        <v>85</v>
      </c>
      <c r="B86" s="60">
        <v>46114</v>
      </c>
      <c r="C86" s="43">
        <f t="shared" si="5"/>
        <v>46114</v>
      </c>
      <c r="D86" s="61" t="str">
        <f t="shared" si="6"/>
        <v>Thursday</v>
      </c>
      <c r="E86" s="62">
        <v>0.77083333333333337</v>
      </c>
      <c r="F86" s="62">
        <v>0.79166666666666663</v>
      </c>
      <c r="G86" s="62">
        <v>3.4722222222222218E-4</v>
      </c>
      <c r="H86" t="s">
        <v>125</v>
      </c>
      <c r="I86" s="63" t="s">
        <v>84</v>
      </c>
      <c r="J86" t="s">
        <v>87</v>
      </c>
      <c r="L86">
        <v>1</v>
      </c>
      <c r="M86">
        <v>72939</v>
      </c>
      <c r="N86" t="s">
        <v>33</v>
      </c>
      <c r="O86" t="s">
        <v>126</v>
      </c>
      <c r="P86" s="67">
        <v>65</v>
      </c>
      <c r="R86" s="67">
        <f t="shared" si="7"/>
        <v>65</v>
      </c>
      <c r="S86" s="65">
        <v>46113</v>
      </c>
      <c r="T86" s="67">
        <f t="shared" si="8"/>
        <v>9.75</v>
      </c>
      <c r="U86" s="66">
        <v>4</v>
      </c>
      <c r="V86" s="67">
        <f t="shared" si="9"/>
        <v>55.25</v>
      </c>
      <c r="W86" t="s">
        <v>66</v>
      </c>
      <c r="X86" t="s">
        <v>79</v>
      </c>
      <c r="Y86" t="s">
        <v>6</v>
      </c>
      <c r="Z86" t="s">
        <v>57</v>
      </c>
      <c r="AA86" t="s">
        <v>32</v>
      </c>
      <c r="AB86" s="66" t="s">
        <v>127</v>
      </c>
      <c r="AC86" t="s">
        <v>72</v>
      </c>
    </row>
    <row r="87" spans="1:29" x14ac:dyDescent="0.25">
      <c r="A87" t="s">
        <v>85</v>
      </c>
      <c r="B87" s="60">
        <v>46115</v>
      </c>
      <c r="C87" s="43">
        <f t="shared" si="5"/>
        <v>46115</v>
      </c>
      <c r="D87" s="61" t="str">
        <f t="shared" si="6"/>
        <v>Friday</v>
      </c>
      <c r="E87" s="62">
        <v>0.77083333333333337</v>
      </c>
      <c r="F87" s="62">
        <v>0.79166666666666663</v>
      </c>
      <c r="G87" s="62">
        <v>3.4722222222222218E-4</v>
      </c>
      <c r="H87" t="s">
        <v>125</v>
      </c>
      <c r="I87" s="63" t="s">
        <v>116</v>
      </c>
      <c r="J87" t="s">
        <v>87</v>
      </c>
      <c r="L87">
        <v>1</v>
      </c>
      <c r="M87">
        <v>72939</v>
      </c>
      <c r="N87" t="s">
        <v>33</v>
      </c>
      <c r="O87" t="s">
        <v>126</v>
      </c>
      <c r="P87" s="67">
        <v>65</v>
      </c>
      <c r="R87" s="67">
        <f t="shared" si="7"/>
        <v>65</v>
      </c>
      <c r="S87" s="65">
        <v>46113</v>
      </c>
      <c r="T87" s="67">
        <f t="shared" si="8"/>
        <v>9.75</v>
      </c>
      <c r="U87" s="66">
        <v>4</v>
      </c>
      <c r="V87" s="67">
        <f t="shared" si="9"/>
        <v>55.25</v>
      </c>
      <c r="W87" t="s">
        <v>66</v>
      </c>
      <c r="X87" t="s">
        <v>79</v>
      </c>
      <c r="Y87" t="s">
        <v>6</v>
      </c>
      <c r="Z87" t="s">
        <v>57</v>
      </c>
      <c r="AA87" t="s">
        <v>32</v>
      </c>
      <c r="AB87" s="66" t="s">
        <v>127</v>
      </c>
      <c r="AC87" t="s">
        <v>72</v>
      </c>
    </row>
    <row r="88" spans="1:29" x14ac:dyDescent="0.25">
      <c r="A88" t="s">
        <v>85</v>
      </c>
      <c r="B88" s="60">
        <v>46114</v>
      </c>
      <c r="C88" s="43">
        <f t="shared" si="5"/>
        <v>46114</v>
      </c>
      <c r="D88" s="61" t="str">
        <f t="shared" si="6"/>
        <v>Thursday</v>
      </c>
      <c r="E88" s="62">
        <v>0.79166666666666663</v>
      </c>
      <c r="F88" s="62">
        <v>0.83333333333333337</v>
      </c>
      <c r="G88" s="62">
        <v>3.4722222222222218E-4</v>
      </c>
      <c r="H88" t="s">
        <v>125</v>
      </c>
      <c r="I88" s="63" t="s">
        <v>129</v>
      </c>
      <c r="J88" t="s">
        <v>88</v>
      </c>
      <c r="L88">
        <v>1</v>
      </c>
      <c r="M88">
        <v>72940</v>
      </c>
      <c r="N88" t="s">
        <v>33</v>
      </c>
      <c r="O88" t="s">
        <v>126</v>
      </c>
      <c r="P88" s="67">
        <v>65</v>
      </c>
      <c r="R88" s="67">
        <f t="shared" si="7"/>
        <v>65</v>
      </c>
      <c r="S88" s="65">
        <v>46113</v>
      </c>
      <c r="T88" s="67">
        <f t="shared" si="8"/>
        <v>9.75</v>
      </c>
      <c r="U88" s="66">
        <v>4</v>
      </c>
      <c r="V88" s="67">
        <f t="shared" si="9"/>
        <v>55.25</v>
      </c>
      <c r="W88" t="s">
        <v>66</v>
      </c>
      <c r="X88" t="s">
        <v>79</v>
      </c>
      <c r="Y88" t="s">
        <v>6</v>
      </c>
      <c r="Z88" t="s">
        <v>57</v>
      </c>
      <c r="AA88" t="s">
        <v>32</v>
      </c>
      <c r="AB88" s="66" t="s">
        <v>127</v>
      </c>
      <c r="AC88" t="s">
        <v>72</v>
      </c>
    </row>
    <row r="89" spans="1:29" x14ac:dyDescent="0.25">
      <c r="A89" t="s">
        <v>85</v>
      </c>
      <c r="B89" s="60">
        <v>46113</v>
      </c>
      <c r="C89" s="43">
        <f t="shared" si="5"/>
        <v>46113</v>
      </c>
      <c r="D89" s="61" t="str">
        <f t="shared" si="6"/>
        <v>Wednesday</v>
      </c>
      <c r="E89" s="62">
        <v>0.79166666666666663</v>
      </c>
      <c r="F89" s="62">
        <v>0.83333333333333337</v>
      </c>
      <c r="G89" s="62">
        <v>3.4722222222222218E-4</v>
      </c>
      <c r="H89" t="s">
        <v>125</v>
      </c>
      <c r="I89" s="63" t="s">
        <v>92</v>
      </c>
      <c r="J89" t="s">
        <v>88</v>
      </c>
      <c r="L89">
        <v>1</v>
      </c>
      <c r="M89">
        <v>72940</v>
      </c>
      <c r="N89" t="s">
        <v>33</v>
      </c>
      <c r="O89" t="s">
        <v>126</v>
      </c>
      <c r="P89" s="67">
        <v>65</v>
      </c>
      <c r="R89" s="67">
        <f t="shared" si="7"/>
        <v>65</v>
      </c>
      <c r="S89" s="65">
        <v>46113</v>
      </c>
      <c r="T89" s="67">
        <f t="shared" si="8"/>
        <v>9.75</v>
      </c>
      <c r="U89" s="66">
        <v>4</v>
      </c>
      <c r="V89" s="67">
        <f t="shared" si="9"/>
        <v>55.25</v>
      </c>
      <c r="W89" t="s">
        <v>66</v>
      </c>
      <c r="X89" t="s">
        <v>79</v>
      </c>
      <c r="Y89" t="s">
        <v>6</v>
      </c>
      <c r="Z89" t="s">
        <v>57</v>
      </c>
      <c r="AA89" t="s">
        <v>32</v>
      </c>
      <c r="AB89" s="66" t="s">
        <v>127</v>
      </c>
      <c r="AC89" t="s">
        <v>72</v>
      </c>
    </row>
    <row r="90" spans="1:29" x14ac:dyDescent="0.25">
      <c r="A90" t="s">
        <v>85</v>
      </c>
      <c r="B90" s="60">
        <v>46117</v>
      </c>
      <c r="C90" s="43">
        <f t="shared" si="5"/>
        <v>46117</v>
      </c>
      <c r="D90" s="61" t="str">
        <f t="shared" si="6"/>
        <v>Sunday</v>
      </c>
      <c r="E90" s="62">
        <v>0.79166666666666663</v>
      </c>
      <c r="F90" s="62">
        <v>0.99930555555555556</v>
      </c>
      <c r="G90" s="62">
        <v>3.4722222222222218E-4</v>
      </c>
      <c r="H90" t="s">
        <v>125</v>
      </c>
      <c r="I90" s="63" t="s">
        <v>96</v>
      </c>
      <c r="J90" t="s">
        <v>134</v>
      </c>
      <c r="L90">
        <v>1</v>
      </c>
      <c r="M90">
        <v>72941</v>
      </c>
      <c r="N90" t="s">
        <v>73</v>
      </c>
      <c r="O90" t="s">
        <v>126</v>
      </c>
      <c r="P90" s="67">
        <v>0</v>
      </c>
      <c r="R90" s="67">
        <f t="shared" si="7"/>
        <v>0</v>
      </c>
      <c r="S90" s="65">
        <v>46113</v>
      </c>
      <c r="T90" s="67">
        <f t="shared" si="8"/>
        <v>0</v>
      </c>
      <c r="U90" s="66">
        <v>4</v>
      </c>
      <c r="V90" s="67">
        <f t="shared" si="9"/>
        <v>0</v>
      </c>
      <c r="W90" t="s">
        <v>66</v>
      </c>
      <c r="X90" t="s">
        <v>79</v>
      </c>
      <c r="Y90" t="s">
        <v>6</v>
      </c>
      <c r="Z90" t="s">
        <v>57</v>
      </c>
      <c r="AA90" t="s">
        <v>32</v>
      </c>
      <c r="AB90" s="66" t="s">
        <v>127</v>
      </c>
      <c r="AC90" t="s">
        <v>72</v>
      </c>
    </row>
    <row r="91" spans="1:29" x14ac:dyDescent="0.25">
      <c r="A91" t="s">
        <v>85</v>
      </c>
      <c r="B91" s="60">
        <v>46116</v>
      </c>
      <c r="C91" s="43">
        <f t="shared" si="5"/>
        <v>46116</v>
      </c>
      <c r="D91" s="61" t="str">
        <f t="shared" si="6"/>
        <v>Saturday</v>
      </c>
      <c r="E91" s="62">
        <v>0.79166666666666663</v>
      </c>
      <c r="F91" s="62">
        <v>0.99930555555555556</v>
      </c>
      <c r="G91" s="62">
        <v>3.4722222222222218E-4</v>
      </c>
      <c r="H91" t="s">
        <v>125</v>
      </c>
      <c r="I91" s="63" t="s">
        <v>135</v>
      </c>
      <c r="J91" t="s">
        <v>134</v>
      </c>
      <c r="L91">
        <v>1</v>
      </c>
      <c r="M91">
        <v>72941</v>
      </c>
      <c r="N91" t="s">
        <v>73</v>
      </c>
      <c r="O91" t="s">
        <v>126</v>
      </c>
      <c r="P91" s="67">
        <v>0</v>
      </c>
      <c r="R91" s="67">
        <f t="shared" si="7"/>
        <v>0</v>
      </c>
      <c r="S91" s="65">
        <v>46113</v>
      </c>
      <c r="T91" s="67">
        <f t="shared" si="8"/>
        <v>0</v>
      </c>
      <c r="U91" s="66">
        <v>4</v>
      </c>
      <c r="V91" s="67">
        <f t="shared" si="9"/>
        <v>0</v>
      </c>
      <c r="W91" t="s">
        <v>66</v>
      </c>
      <c r="X91" t="s">
        <v>79</v>
      </c>
      <c r="Y91" t="s">
        <v>6</v>
      </c>
      <c r="Z91" t="s">
        <v>57</v>
      </c>
      <c r="AA91" t="s">
        <v>32</v>
      </c>
      <c r="AB91" s="66" t="s">
        <v>127</v>
      </c>
      <c r="AC91" t="s">
        <v>72</v>
      </c>
    </row>
    <row r="92" spans="1:29" x14ac:dyDescent="0.25">
      <c r="A92" t="s">
        <v>85</v>
      </c>
      <c r="B92" s="60">
        <v>46117</v>
      </c>
      <c r="C92" s="43">
        <f t="shared" si="5"/>
        <v>46117</v>
      </c>
      <c r="D92" s="61" t="str">
        <f t="shared" si="6"/>
        <v>Sunday</v>
      </c>
      <c r="E92" s="62">
        <v>0.83333333333333337</v>
      </c>
      <c r="F92" s="62">
        <v>0.875</v>
      </c>
      <c r="G92" s="62">
        <v>3.4722222222222218E-4</v>
      </c>
      <c r="H92" t="s">
        <v>125</v>
      </c>
      <c r="I92" s="63" t="s">
        <v>78</v>
      </c>
      <c r="J92" t="s">
        <v>89</v>
      </c>
      <c r="L92">
        <v>1</v>
      </c>
      <c r="M92">
        <v>72942</v>
      </c>
      <c r="N92" t="s">
        <v>33</v>
      </c>
      <c r="O92" t="s">
        <v>126</v>
      </c>
      <c r="P92" s="67">
        <v>65</v>
      </c>
      <c r="R92" s="67">
        <f t="shared" si="7"/>
        <v>65</v>
      </c>
      <c r="S92" s="65">
        <v>46113</v>
      </c>
      <c r="T92" s="67">
        <f t="shared" si="8"/>
        <v>9.75</v>
      </c>
      <c r="U92" s="66">
        <v>4</v>
      </c>
      <c r="V92" s="67">
        <f t="shared" si="9"/>
        <v>55.25</v>
      </c>
      <c r="W92" t="s">
        <v>66</v>
      </c>
      <c r="X92" t="s">
        <v>79</v>
      </c>
      <c r="Y92" t="s">
        <v>6</v>
      </c>
      <c r="Z92" t="s">
        <v>57</v>
      </c>
      <c r="AA92" t="s">
        <v>32</v>
      </c>
      <c r="AB92" s="66" t="s">
        <v>127</v>
      </c>
      <c r="AC92" t="s">
        <v>72</v>
      </c>
    </row>
    <row r="93" spans="1:29" x14ac:dyDescent="0.25">
      <c r="A93" t="s">
        <v>85</v>
      </c>
      <c r="B93" s="60">
        <v>46114</v>
      </c>
      <c r="C93" s="43">
        <f t="shared" si="5"/>
        <v>46114</v>
      </c>
      <c r="D93" s="61" t="str">
        <f t="shared" si="6"/>
        <v>Thursday</v>
      </c>
      <c r="E93" s="62">
        <v>0.83333333333333337</v>
      </c>
      <c r="F93" s="62">
        <v>0.875</v>
      </c>
      <c r="G93" s="62">
        <v>3.4722222222222218E-4</v>
      </c>
      <c r="H93" t="s">
        <v>125</v>
      </c>
      <c r="I93" s="63" t="s">
        <v>97</v>
      </c>
      <c r="J93" t="s">
        <v>89</v>
      </c>
      <c r="L93">
        <v>1</v>
      </c>
      <c r="M93">
        <v>72942</v>
      </c>
      <c r="N93" t="s">
        <v>33</v>
      </c>
      <c r="O93" t="s">
        <v>126</v>
      </c>
      <c r="P93" s="67">
        <v>65</v>
      </c>
      <c r="R93" s="67">
        <f t="shared" si="7"/>
        <v>65</v>
      </c>
      <c r="S93" s="65">
        <v>46113</v>
      </c>
      <c r="T93" s="67">
        <f t="shared" si="8"/>
        <v>9.75</v>
      </c>
      <c r="U93" s="66">
        <v>4</v>
      </c>
      <c r="V93" s="67">
        <f t="shared" si="9"/>
        <v>55.25</v>
      </c>
      <c r="W93" t="s">
        <v>66</v>
      </c>
      <c r="X93" t="s">
        <v>79</v>
      </c>
      <c r="Y93" t="s">
        <v>6</v>
      </c>
      <c r="Z93" t="s">
        <v>57</v>
      </c>
      <c r="AA93" t="s">
        <v>32</v>
      </c>
      <c r="AB93" s="66" t="s">
        <v>127</v>
      </c>
      <c r="AC93" t="s">
        <v>72</v>
      </c>
    </row>
    <row r="94" spans="1:29" x14ac:dyDescent="0.25">
      <c r="A94" t="s">
        <v>85</v>
      </c>
      <c r="B94" s="60">
        <v>46113</v>
      </c>
      <c r="C94" s="43">
        <f t="shared" si="5"/>
        <v>46113</v>
      </c>
      <c r="D94" s="61" t="str">
        <f t="shared" si="6"/>
        <v>Wednesday</v>
      </c>
      <c r="E94" s="62">
        <v>0.875</v>
      </c>
      <c r="F94" s="62">
        <v>0.97916666666666663</v>
      </c>
      <c r="G94" s="62">
        <v>3.4722222222222218E-4</v>
      </c>
      <c r="H94" t="s">
        <v>125</v>
      </c>
      <c r="I94" s="63" t="s">
        <v>118</v>
      </c>
      <c r="J94" t="s">
        <v>89</v>
      </c>
      <c r="L94">
        <v>1</v>
      </c>
      <c r="M94">
        <v>72943</v>
      </c>
      <c r="N94" t="s">
        <v>33</v>
      </c>
      <c r="O94" t="s">
        <v>126</v>
      </c>
      <c r="P94" s="67">
        <v>65</v>
      </c>
      <c r="R94" s="67">
        <f t="shared" si="7"/>
        <v>65</v>
      </c>
      <c r="S94" s="65">
        <v>46113</v>
      </c>
      <c r="T94" s="67">
        <f t="shared" si="8"/>
        <v>9.75</v>
      </c>
      <c r="U94" s="66">
        <v>4</v>
      </c>
      <c r="V94" s="67">
        <f t="shared" si="9"/>
        <v>55.25</v>
      </c>
      <c r="W94" t="s">
        <v>66</v>
      </c>
      <c r="X94" t="s">
        <v>79</v>
      </c>
      <c r="Y94" t="s">
        <v>6</v>
      </c>
      <c r="Z94" t="s">
        <v>57</v>
      </c>
      <c r="AA94" t="s">
        <v>32</v>
      </c>
      <c r="AB94" s="66" t="s">
        <v>127</v>
      </c>
      <c r="AC94" t="s">
        <v>72</v>
      </c>
    </row>
    <row r="95" spans="1:29" x14ac:dyDescent="0.25">
      <c r="A95" t="s">
        <v>85</v>
      </c>
      <c r="B95" s="60">
        <v>46115</v>
      </c>
      <c r="C95" s="43">
        <f t="shared" si="5"/>
        <v>46115</v>
      </c>
      <c r="D95" s="61" t="str">
        <f t="shared" si="6"/>
        <v>Friday</v>
      </c>
      <c r="E95" s="62">
        <v>0.875</v>
      </c>
      <c r="F95" s="62">
        <v>0.97916666666666663</v>
      </c>
      <c r="G95" s="62">
        <v>3.4722222222222218E-4</v>
      </c>
      <c r="H95" t="s">
        <v>125</v>
      </c>
      <c r="I95" s="63" t="s">
        <v>144</v>
      </c>
      <c r="J95" t="s">
        <v>89</v>
      </c>
      <c r="L95">
        <v>1</v>
      </c>
      <c r="M95">
        <v>72943</v>
      </c>
      <c r="N95" t="s">
        <v>33</v>
      </c>
      <c r="O95" t="s">
        <v>126</v>
      </c>
      <c r="P95" s="67">
        <v>65</v>
      </c>
      <c r="R95" s="67">
        <f t="shared" si="7"/>
        <v>65</v>
      </c>
      <c r="S95" s="65">
        <v>46113</v>
      </c>
      <c r="T95" s="67">
        <f t="shared" si="8"/>
        <v>9.75</v>
      </c>
      <c r="U95" s="66">
        <v>4</v>
      </c>
      <c r="V95" s="67">
        <f t="shared" si="9"/>
        <v>55.25</v>
      </c>
      <c r="W95" t="s">
        <v>66</v>
      </c>
      <c r="X95" t="s">
        <v>79</v>
      </c>
      <c r="Y95" t="s">
        <v>6</v>
      </c>
      <c r="Z95" t="s">
        <v>57</v>
      </c>
      <c r="AA95" t="s">
        <v>32</v>
      </c>
      <c r="AB95" s="66" t="s">
        <v>127</v>
      </c>
      <c r="AC95" t="s">
        <v>72</v>
      </c>
    </row>
  </sheetData>
  <autoFilter ref="A1:AC1" xr:uid="{00000000-0009-0000-0000-000001000000}"/>
  <phoneticPr fontId="0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C7"/>
  <sheetViews>
    <sheetView workbookViewId="0">
      <selection activeCell="B5" sqref="B5:B6"/>
    </sheetView>
  </sheetViews>
  <sheetFormatPr defaultRowHeight="15" x14ac:dyDescent="0.25"/>
  <cols>
    <col min="1" max="1" width="13.140625" customWidth="1"/>
    <col min="2" max="2" width="17.28515625" customWidth="1"/>
    <col min="3" max="3" width="17.85546875" bestFit="1" customWidth="1"/>
  </cols>
  <sheetData>
    <row r="3" spans="1:3" x14ac:dyDescent="0.25">
      <c r="A3" s="54" t="s">
        <v>67</v>
      </c>
      <c r="B3" t="s">
        <v>70</v>
      </c>
      <c r="C3" t="s">
        <v>71</v>
      </c>
    </row>
    <row r="4" spans="1:3" x14ac:dyDescent="0.25">
      <c r="A4" s="4" t="s">
        <v>68</v>
      </c>
      <c r="B4" s="56"/>
      <c r="C4" s="56"/>
    </row>
    <row r="5" spans="1:3" x14ac:dyDescent="0.25">
      <c r="A5" s="55">
        <v>46113</v>
      </c>
      <c r="B5" s="56">
        <v>3605</v>
      </c>
      <c r="C5" s="56">
        <v>3064.25</v>
      </c>
    </row>
    <row r="6" spans="1:3" x14ac:dyDescent="0.25">
      <c r="A6" s="55">
        <v>46143</v>
      </c>
      <c r="B6" s="56">
        <v>1385</v>
      </c>
      <c r="C6" s="56">
        <v>1177.25</v>
      </c>
    </row>
    <row r="7" spans="1:3" x14ac:dyDescent="0.25">
      <c r="A7" s="4" t="s">
        <v>69</v>
      </c>
      <c r="B7" s="56">
        <v>4990</v>
      </c>
      <c r="C7" s="56">
        <v>4241.5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Confirmation</vt:lpstr>
      <vt:lpstr>Run 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Hudson</dc:creator>
  <cp:lastModifiedBy>Lee Hudson</cp:lastModifiedBy>
  <cp:lastPrinted>2010-05-14T17:53:22Z</cp:lastPrinted>
  <dcterms:created xsi:type="dcterms:W3CDTF">2010-05-13T01:42:58Z</dcterms:created>
  <dcterms:modified xsi:type="dcterms:W3CDTF">2026-03-04T08:27:12Z</dcterms:modified>
</cp:coreProperties>
</file>