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LIENTS\Admerasia\McDonald's\"/>
    </mc:Choice>
  </mc:AlternateContent>
  <xr:revisionPtr revIDLastSave="0" documentId="13_ncr:1_{97E37ADB-DED4-4DDA-9EEF-2EF173035C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Confirmation" sheetId="1" r:id="rId1"/>
    <sheet name="Run Sheet" sheetId="2" r:id="rId2"/>
    <sheet name="Sheet1" sheetId="3" r:id="rId3"/>
  </sheets>
  <definedNames>
    <definedName name="_xlnm._FilterDatabase" localSheetId="1" hidden="1">'Run Sheet'!$A$1:$AC$2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0" i="2" l="1"/>
  <c r="V70" i="2" s="1"/>
  <c r="R70" i="2"/>
  <c r="D70" i="2"/>
  <c r="C70" i="2"/>
  <c r="T69" i="2"/>
  <c r="V69" i="2" s="1"/>
  <c r="R69" i="2"/>
  <c r="D69" i="2"/>
  <c r="C69" i="2"/>
  <c r="T68" i="2"/>
  <c r="V68" i="2" s="1"/>
  <c r="R68" i="2"/>
  <c r="D68" i="2"/>
  <c r="C68" i="2"/>
  <c r="V67" i="2"/>
  <c r="T67" i="2"/>
  <c r="R67" i="2"/>
  <c r="D67" i="2"/>
  <c r="C67" i="2"/>
  <c r="V66" i="2"/>
  <c r="T66" i="2"/>
  <c r="R66" i="2"/>
  <c r="D66" i="2"/>
  <c r="C66" i="2"/>
  <c r="V65" i="2"/>
  <c r="T65" i="2"/>
  <c r="R65" i="2"/>
  <c r="D65" i="2"/>
  <c r="C65" i="2"/>
  <c r="V64" i="2"/>
  <c r="T64" i="2"/>
  <c r="R64" i="2"/>
  <c r="D64" i="2"/>
  <c r="C64" i="2"/>
  <c r="V63" i="2"/>
  <c r="T63" i="2"/>
  <c r="R63" i="2"/>
  <c r="D63" i="2"/>
  <c r="C63" i="2"/>
  <c r="V62" i="2"/>
  <c r="T62" i="2"/>
  <c r="R62" i="2"/>
  <c r="D62" i="2"/>
  <c r="C62" i="2"/>
  <c r="T61" i="2"/>
  <c r="V61" i="2" s="1"/>
  <c r="R61" i="2"/>
  <c r="D61" i="2"/>
  <c r="C61" i="2"/>
  <c r="T60" i="2"/>
  <c r="V60" i="2" s="1"/>
  <c r="R60" i="2"/>
  <c r="D60" i="2"/>
  <c r="C60" i="2"/>
  <c r="T59" i="2"/>
  <c r="V59" i="2" s="1"/>
  <c r="R59" i="2"/>
  <c r="D59" i="2"/>
  <c r="C59" i="2"/>
  <c r="T58" i="2"/>
  <c r="V58" i="2" s="1"/>
  <c r="R58" i="2"/>
  <c r="D58" i="2"/>
  <c r="C58" i="2"/>
  <c r="T57" i="2"/>
  <c r="V57" i="2" s="1"/>
  <c r="R57" i="2"/>
  <c r="D57" i="2"/>
  <c r="C57" i="2"/>
  <c r="V56" i="2"/>
  <c r="T56" i="2"/>
  <c r="R56" i="2"/>
  <c r="D56" i="2"/>
  <c r="C56" i="2"/>
  <c r="T55" i="2"/>
  <c r="V55" i="2" s="1"/>
  <c r="R55" i="2"/>
  <c r="D55" i="2"/>
  <c r="C55" i="2"/>
  <c r="T54" i="2"/>
  <c r="V54" i="2" s="1"/>
  <c r="R54" i="2"/>
  <c r="D54" i="2"/>
  <c r="C54" i="2"/>
  <c r="T53" i="2"/>
  <c r="V53" i="2" s="1"/>
  <c r="R53" i="2"/>
  <c r="D53" i="2"/>
  <c r="C53" i="2"/>
  <c r="T52" i="2"/>
  <c r="V52" i="2" s="1"/>
  <c r="R52" i="2"/>
  <c r="D52" i="2"/>
  <c r="C52" i="2"/>
  <c r="V51" i="2"/>
  <c r="T51" i="2"/>
  <c r="R51" i="2"/>
  <c r="D51" i="2"/>
  <c r="C51" i="2"/>
  <c r="V50" i="2"/>
  <c r="T50" i="2"/>
  <c r="R50" i="2"/>
  <c r="D50" i="2"/>
  <c r="C50" i="2"/>
  <c r="V49" i="2"/>
  <c r="T49" i="2"/>
  <c r="R49" i="2"/>
  <c r="D49" i="2"/>
  <c r="C49" i="2"/>
  <c r="T48" i="2"/>
  <c r="V48" i="2" s="1"/>
  <c r="R48" i="2"/>
  <c r="D48" i="2"/>
  <c r="C48" i="2"/>
  <c r="T47" i="2"/>
  <c r="V47" i="2" s="1"/>
  <c r="R47" i="2"/>
  <c r="D47" i="2"/>
  <c r="C47" i="2"/>
  <c r="T46" i="2"/>
  <c r="V46" i="2" s="1"/>
  <c r="R46" i="2"/>
  <c r="D46" i="2"/>
  <c r="C46" i="2"/>
  <c r="T45" i="2"/>
  <c r="V45" i="2" s="1"/>
  <c r="R45" i="2"/>
  <c r="D45" i="2"/>
  <c r="C45" i="2"/>
  <c r="T44" i="2"/>
  <c r="V44" i="2" s="1"/>
  <c r="R44" i="2"/>
  <c r="D44" i="2"/>
  <c r="C44" i="2"/>
  <c r="T43" i="2"/>
  <c r="V43" i="2" s="1"/>
  <c r="R43" i="2"/>
  <c r="D43" i="2"/>
  <c r="C43" i="2"/>
  <c r="T42" i="2"/>
  <c r="V42" i="2" s="1"/>
  <c r="R42" i="2"/>
  <c r="D42" i="2"/>
  <c r="C42" i="2"/>
  <c r="T41" i="2"/>
  <c r="V41" i="2" s="1"/>
  <c r="R41" i="2"/>
  <c r="D41" i="2"/>
  <c r="C41" i="2"/>
  <c r="V40" i="2"/>
  <c r="T40" i="2"/>
  <c r="R40" i="2"/>
  <c r="D40" i="2"/>
  <c r="C40" i="2"/>
  <c r="T39" i="2"/>
  <c r="V39" i="2" s="1"/>
  <c r="R39" i="2"/>
  <c r="D39" i="2"/>
  <c r="C39" i="2"/>
  <c r="T38" i="2"/>
  <c r="V38" i="2" s="1"/>
  <c r="R38" i="2"/>
  <c r="D38" i="2"/>
  <c r="C38" i="2"/>
  <c r="T37" i="2"/>
  <c r="V37" i="2" s="1"/>
  <c r="R37" i="2"/>
  <c r="D37" i="2"/>
  <c r="C37" i="2"/>
  <c r="T36" i="2"/>
  <c r="V36" i="2" s="1"/>
  <c r="R36" i="2"/>
  <c r="D36" i="2"/>
  <c r="C36" i="2"/>
  <c r="V35" i="2"/>
  <c r="T35" i="2"/>
  <c r="R35" i="2"/>
  <c r="D35" i="2"/>
  <c r="C35" i="2"/>
  <c r="V34" i="2"/>
  <c r="T34" i="2"/>
  <c r="R34" i="2"/>
  <c r="D34" i="2"/>
  <c r="C34" i="2"/>
  <c r="V33" i="2"/>
  <c r="T33" i="2"/>
  <c r="R33" i="2"/>
  <c r="D33" i="2"/>
  <c r="C33" i="2"/>
  <c r="T32" i="2"/>
  <c r="V32" i="2" s="1"/>
  <c r="R32" i="2"/>
  <c r="D32" i="2"/>
  <c r="C32" i="2"/>
  <c r="T31" i="2"/>
  <c r="V31" i="2" s="1"/>
  <c r="R31" i="2"/>
  <c r="D31" i="2"/>
  <c r="C31" i="2"/>
  <c r="T30" i="2"/>
  <c r="V30" i="2" s="1"/>
  <c r="R30" i="2"/>
  <c r="D30" i="2"/>
  <c r="C30" i="2"/>
  <c r="T29" i="2"/>
  <c r="V29" i="2" s="1"/>
  <c r="R29" i="2"/>
  <c r="D29" i="2"/>
  <c r="C29" i="2"/>
  <c r="T28" i="2"/>
  <c r="V28" i="2" s="1"/>
  <c r="R28" i="2"/>
  <c r="D28" i="2"/>
  <c r="C28" i="2"/>
  <c r="T27" i="2"/>
  <c r="V27" i="2" s="1"/>
  <c r="R27" i="2"/>
  <c r="D27" i="2"/>
  <c r="C27" i="2"/>
  <c r="T26" i="2"/>
  <c r="V26" i="2" s="1"/>
  <c r="R26" i="2"/>
  <c r="D26" i="2"/>
  <c r="C26" i="2"/>
  <c r="T25" i="2"/>
  <c r="V25" i="2" s="1"/>
  <c r="R25" i="2"/>
  <c r="D25" i="2"/>
  <c r="C25" i="2"/>
  <c r="V24" i="2"/>
  <c r="T24" i="2"/>
  <c r="R24" i="2"/>
  <c r="D24" i="2"/>
  <c r="C24" i="2"/>
  <c r="T23" i="2"/>
  <c r="V23" i="2" s="1"/>
  <c r="R23" i="2"/>
  <c r="D23" i="2"/>
  <c r="C23" i="2"/>
  <c r="T22" i="2"/>
  <c r="V22" i="2" s="1"/>
  <c r="R22" i="2"/>
  <c r="D22" i="2"/>
  <c r="C22" i="2"/>
  <c r="T21" i="2"/>
  <c r="V21" i="2" s="1"/>
  <c r="R21" i="2"/>
  <c r="D21" i="2"/>
  <c r="C21" i="2"/>
  <c r="T20" i="2"/>
  <c r="V20" i="2" s="1"/>
  <c r="R20" i="2"/>
  <c r="D20" i="2"/>
  <c r="C20" i="2"/>
  <c r="V19" i="2"/>
  <c r="T19" i="2"/>
  <c r="R19" i="2"/>
  <c r="D19" i="2"/>
  <c r="C19" i="2"/>
  <c r="V18" i="2"/>
  <c r="T18" i="2"/>
  <c r="R18" i="2"/>
  <c r="D18" i="2"/>
  <c r="C18" i="2"/>
  <c r="V17" i="2"/>
  <c r="T17" i="2"/>
  <c r="R17" i="2"/>
  <c r="D17" i="2"/>
  <c r="C17" i="2"/>
  <c r="T16" i="2"/>
  <c r="V16" i="2" s="1"/>
  <c r="R16" i="2"/>
  <c r="D16" i="2"/>
  <c r="C16" i="2"/>
  <c r="T15" i="2"/>
  <c r="V15" i="2" s="1"/>
  <c r="R15" i="2"/>
  <c r="D15" i="2"/>
  <c r="C15" i="2"/>
  <c r="T14" i="2"/>
  <c r="V14" i="2" s="1"/>
  <c r="R14" i="2"/>
  <c r="D14" i="2"/>
  <c r="C14" i="2"/>
  <c r="T13" i="2"/>
  <c r="V13" i="2" s="1"/>
  <c r="R13" i="2"/>
  <c r="D13" i="2"/>
  <c r="C13" i="2"/>
  <c r="T12" i="2"/>
  <c r="V12" i="2" s="1"/>
  <c r="R12" i="2"/>
  <c r="D12" i="2"/>
  <c r="C12" i="2"/>
  <c r="T11" i="2"/>
  <c r="V11" i="2" s="1"/>
  <c r="R11" i="2"/>
  <c r="D11" i="2"/>
  <c r="C11" i="2"/>
  <c r="T10" i="2"/>
  <c r="V10" i="2" s="1"/>
  <c r="R10" i="2"/>
  <c r="D10" i="2"/>
  <c r="C10" i="2"/>
  <c r="T9" i="2"/>
  <c r="V9" i="2" s="1"/>
  <c r="R9" i="2"/>
  <c r="D9" i="2"/>
  <c r="C9" i="2"/>
  <c r="T8" i="2"/>
  <c r="V8" i="2" s="1"/>
  <c r="R8" i="2"/>
  <c r="D8" i="2"/>
  <c r="C8" i="2"/>
  <c r="T7" i="2"/>
  <c r="V7" i="2" s="1"/>
  <c r="R7" i="2"/>
  <c r="D7" i="2"/>
  <c r="C7" i="2"/>
  <c r="T6" i="2"/>
  <c r="V6" i="2" s="1"/>
  <c r="R6" i="2"/>
  <c r="D6" i="2"/>
  <c r="C6" i="2"/>
  <c r="T5" i="2"/>
  <c r="V5" i="2" s="1"/>
  <c r="R5" i="2"/>
  <c r="D5" i="2"/>
  <c r="C5" i="2"/>
  <c r="T4" i="2"/>
  <c r="V4" i="2" s="1"/>
  <c r="R4" i="2"/>
  <c r="D4" i="2"/>
  <c r="C4" i="2"/>
  <c r="V3" i="2"/>
  <c r="T3" i="2"/>
  <c r="R3" i="2"/>
  <c r="D3" i="2"/>
  <c r="C3" i="2"/>
  <c r="V2" i="2"/>
  <c r="T2" i="2"/>
  <c r="R2" i="2"/>
  <c r="D2" i="2"/>
  <c r="C2" i="2"/>
  <c r="O17" i="1"/>
  <c r="O16" i="1"/>
  <c r="O15" i="1"/>
  <c r="O14" i="1"/>
  <c r="D31" i="1"/>
  <c r="L14" i="1"/>
  <c r="P14" i="1" l="1"/>
  <c r="E30" i="1"/>
  <c r="E31" i="1" s="1"/>
  <c r="L15" i="1"/>
  <c r="L16" i="1"/>
  <c r="P15" i="1" l="1"/>
  <c r="P16" i="1"/>
  <c r="L17" i="1" l="1"/>
  <c r="L18" i="1" s="1"/>
  <c r="P17" i="1" l="1"/>
  <c r="P18" i="1" s="1"/>
  <c r="P19" i="1" l="1"/>
  <c r="P20" i="1" s="1"/>
</calcChain>
</file>

<file path=xl/sharedStrings.xml><?xml version="1.0" encoding="utf-8"?>
<sst xmlns="http://schemas.openxmlformats.org/spreadsheetml/2006/main" count="1001" uniqueCount="118">
  <si>
    <t>Client</t>
  </si>
  <si>
    <t>Advertiser</t>
  </si>
  <si>
    <t>Contact</t>
  </si>
  <si>
    <t>Address</t>
  </si>
  <si>
    <t>Estimate</t>
  </si>
  <si>
    <t>Billing Type</t>
  </si>
  <si>
    <t>Phone</t>
  </si>
  <si>
    <t>Market</t>
  </si>
  <si>
    <t>Fax</t>
  </si>
  <si>
    <t>Email</t>
  </si>
  <si>
    <t>Contract Number</t>
  </si>
  <si>
    <t>Bill Code</t>
  </si>
  <si>
    <t>Air Date</t>
  </si>
  <si>
    <t>End Date</t>
  </si>
  <si>
    <t>Day</t>
  </si>
  <si>
    <t>Time In</t>
  </si>
  <si>
    <t>Time out</t>
  </si>
  <si>
    <t>Length</t>
  </si>
  <si>
    <t>Media</t>
  </si>
  <si>
    <t>Lang.</t>
  </si>
  <si>
    <t>Format</t>
  </si>
  <si>
    <t>#</t>
  </si>
  <si>
    <t>Type</t>
  </si>
  <si>
    <t>Make Good</t>
  </si>
  <si>
    <t>Spot Value</t>
  </si>
  <si>
    <t>Broker Fees</t>
  </si>
  <si>
    <t>Station Net</t>
  </si>
  <si>
    <t>Sales Person</t>
  </si>
  <si>
    <t>Revenue Type</t>
  </si>
  <si>
    <t>Agency?</t>
  </si>
  <si>
    <t>Affidavit?</t>
  </si>
  <si>
    <t>Y</t>
  </si>
  <si>
    <t>COM</t>
  </si>
  <si>
    <t>SALES CONFIRMATION - CROSSINGS TV</t>
  </si>
  <si>
    <t>Start Date</t>
  </si>
  <si>
    <t>Line Number</t>
  </si>
  <si>
    <t>TP/Program/Lang Ordered</t>
  </si>
  <si>
    <t>Total # of Units</t>
  </si>
  <si>
    <t># spt per</t>
  </si>
  <si>
    <t>Per ____</t>
  </si>
  <si>
    <t>Spot type</t>
  </si>
  <si>
    <t>Additional Notes</t>
  </si>
  <si>
    <t>Gross Rate</t>
  </si>
  <si>
    <t>spots</t>
  </si>
  <si>
    <t>Station Rep Signature</t>
  </si>
  <si>
    <t>Client Signature</t>
  </si>
  <si>
    <t>Date Order Written</t>
  </si>
  <si>
    <t>Program</t>
  </si>
  <si>
    <t>Revision</t>
  </si>
  <si>
    <t>Station Representative</t>
  </si>
  <si>
    <t>Gross Amount</t>
  </si>
  <si>
    <t>Net Amount of Contract</t>
  </si>
  <si>
    <t># of days, wks, mos</t>
  </si>
  <si>
    <t>Gross Unit Rate</t>
  </si>
  <si>
    <t>Gross Line Total</t>
  </si>
  <si>
    <t>Total</t>
  </si>
  <si>
    <t>Month</t>
  </si>
  <si>
    <t>Net</t>
  </si>
  <si>
    <t>Line</t>
  </si>
  <si>
    <t>Row Labels</t>
  </si>
  <si>
    <t>(blank)</t>
  </si>
  <si>
    <t>Grand Total</t>
  </si>
  <si>
    <t>Sum of Gross Rate</t>
  </si>
  <si>
    <t>Priority</t>
  </si>
  <si>
    <t>order</t>
  </si>
  <si>
    <t>New York</t>
  </si>
  <si>
    <t>NY</t>
  </si>
  <si>
    <t>Admerasia Inc.</t>
  </si>
  <si>
    <t>McDonald's</t>
  </si>
  <si>
    <t>Charmaine Lane</t>
  </si>
  <si>
    <t>Calendar</t>
  </si>
  <si>
    <t>Agency Discount</t>
  </si>
  <si>
    <t>Agency</t>
  </si>
  <si>
    <t>Gross</t>
  </si>
  <si>
    <t>MONTHLY BREAKDOWN</t>
  </si>
  <si>
    <t>Andrew Hung</t>
  </si>
  <si>
    <t>andrewh@admerasia.com</t>
  </si>
  <si>
    <t>:15</t>
  </si>
  <si>
    <t>Internal Ad Sales</t>
  </si>
  <si>
    <t>.</t>
  </si>
  <si>
    <t>Sum of Station Net</t>
  </si>
  <si>
    <t>520 W 27th St Room 601</t>
  </si>
  <si>
    <t>Contract</t>
  </si>
  <si>
    <t>Admerasia Inc.:McDonald's</t>
  </si>
  <si>
    <t>M-F 1130a-12n</t>
  </si>
  <si>
    <t>Sa-Su 11a-12n</t>
  </si>
  <si>
    <t>M-Su 12n-1p</t>
  </si>
  <si>
    <t>11:08:00</t>
  </si>
  <si>
    <t>M-F 11-1130a</t>
  </si>
  <si>
    <t>SFO</t>
  </si>
  <si>
    <t>V</t>
  </si>
  <si>
    <t>Mar</t>
  </si>
  <si>
    <t>March</t>
  </si>
  <si>
    <t>Ref: McDonald's
Campaign: Big Arch 2026
Campaign Period: 3/9/2026 - 3/29/2026
DMA: San Francisco
No religious shows</t>
  </si>
  <si>
    <t>06-MD10-2603VT</t>
  </si>
  <si>
    <t>MD15V376: ACM Yes VIE (MCIV005526VH)</t>
  </si>
  <si>
    <t>6SF 2603</t>
  </si>
  <si>
    <t>2559</t>
  </si>
  <si>
    <t>MD15V377: ACM Name VIE (MCIV006526VH)</t>
  </si>
  <si>
    <t>11:18:00</t>
  </si>
  <si>
    <t>11:28:00</t>
  </si>
  <si>
    <t>11:40:30</t>
  </si>
  <si>
    <t>11:41:30</t>
  </si>
  <si>
    <t>11:42:00</t>
  </si>
  <si>
    <t>11:49:00</t>
  </si>
  <si>
    <t>11:56:30</t>
  </si>
  <si>
    <t>11:57:00</t>
  </si>
  <si>
    <t>11:35:00</t>
  </si>
  <si>
    <t>11:44:00</t>
  </si>
  <si>
    <t>11:50:00</t>
  </si>
  <si>
    <t>11:57:30</t>
  </si>
  <si>
    <t>11:59:00</t>
  </si>
  <si>
    <t>12:07:00</t>
  </si>
  <si>
    <t>12:18:00</t>
  </si>
  <si>
    <t>12:29:00</t>
  </si>
  <si>
    <t>12:38:00</t>
  </si>
  <si>
    <t>12:48:00</t>
  </si>
  <si>
    <t>12:59:00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</si>
</sst>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164" formatCode="[&lt;=9999999]###\-####;\(###\)\ ###\-####"/>
    <numFmt numFmtId="165" formatCode="[h]:mm:ss;@"/>
    <numFmt numFmtId="166" formatCode="m/d/yy"/>
    <numFmt numFmtId="167" formatCode="[$-409]mmmm\-yy;@"/>
  </numFmts>
  <fonts count="2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2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i/>
      <sz val="11"/>
      <color indexed="8"/>
      <name val="Calibri"/>
      <family val="2"/>
    </font>
    <font>
      <i/>
      <sz val="11"/>
      <color indexed="8"/>
      <name val="Calibri"/>
      <family val="2"/>
    </font>
    <font>
      <sz val="9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4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44" fontId="5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0" fillId="7" borderId="1" applyNumberFormat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7" fillId="0" borderId="0"/>
    <xf numFmtId="0" fontId="3" fillId="0" borderId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" fillId="2" borderId="0"/>
    <xf numFmtId="0" fontId="5" fillId="2" borderId="0"/>
    <xf numFmtId="0" fontId="5" fillId="3" borderId="0"/>
    <xf numFmtId="0" fontId="5" fillId="3" borderId="0"/>
    <xf numFmtId="0" fontId="5" fillId="4" borderId="0"/>
    <xf numFmtId="0" fontId="5" fillId="4" borderId="0"/>
    <xf numFmtId="0" fontId="5" fillId="5" borderId="0"/>
    <xf numFmtId="0" fontId="5" fillId="5" borderId="0"/>
    <xf numFmtId="0" fontId="5" fillId="6" borderId="0"/>
    <xf numFmtId="0" fontId="5" fillId="6" borderId="0"/>
    <xf numFmtId="0" fontId="5" fillId="7" borderId="0"/>
    <xf numFmtId="0" fontId="5" fillId="7" borderId="0"/>
    <xf numFmtId="0" fontId="5" fillId="8" borderId="0"/>
    <xf numFmtId="0" fontId="5" fillId="8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5" borderId="0"/>
    <xf numFmtId="0" fontId="5" fillId="5" borderId="0"/>
    <xf numFmtId="0" fontId="5" fillId="8" borderId="0"/>
    <xf numFmtId="0" fontId="5" fillId="8" borderId="0"/>
    <xf numFmtId="0" fontId="5" fillId="11" borderId="0"/>
    <xf numFmtId="0" fontId="5" fillId="11" borderId="0"/>
    <xf numFmtId="0" fontId="11" fillId="12" borderId="0"/>
    <xf numFmtId="0" fontId="11" fillId="12" borderId="0"/>
    <xf numFmtId="0" fontId="11" fillId="9" borderId="0"/>
    <xf numFmtId="0" fontId="11" fillId="9" borderId="0"/>
    <xf numFmtId="0" fontId="11" fillId="10" borderId="0"/>
    <xf numFmtId="0" fontId="11" fillId="10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5" borderId="0"/>
    <xf numFmtId="0" fontId="11" fillId="15" borderId="0"/>
    <xf numFmtId="0" fontId="11" fillId="16" borderId="0"/>
    <xf numFmtId="0" fontId="11" fillId="16" borderId="0"/>
    <xf numFmtId="0" fontId="11" fillId="17" borderId="0"/>
    <xf numFmtId="0" fontId="11" fillId="17" borderId="0"/>
    <xf numFmtId="0" fontId="11" fillId="18" borderId="0"/>
    <xf numFmtId="0" fontId="11" fillId="18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9" borderId="0"/>
    <xf numFmtId="0" fontId="11" fillId="19" borderId="0"/>
    <xf numFmtId="0" fontId="12" fillId="3" borderId="0"/>
    <xf numFmtId="0" fontId="12" fillId="3" borderId="0"/>
    <xf numFmtId="0" fontId="13" fillId="20" borderId="1"/>
    <xf numFmtId="0" fontId="13" fillId="20" borderId="1"/>
    <xf numFmtId="0" fontId="14" fillId="21" borderId="2"/>
    <xf numFmtId="0" fontId="14" fillId="21" borderId="2"/>
    <xf numFmtId="44" fontId="5" fillId="0" borderId="0"/>
    <xf numFmtId="44" fontId="7" fillId="0" borderId="0"/>
    <xf numFmtId="44" fontId="7" fillId="0" borderId="0"/>
    <xf numFmtId="0" fontId="15" fillId="0" borderId="0"/>
    <xf numFmtId="0" fontId="15" fillId="0" borderId="0"/>
    <xf numFmtId="0" fontId="16" fillId="4" borderId="0"/>
    <xf numFmtId="0" fontId="16" fillId="4" borderId="0"/>
    <xf numFmtId="0" fontId="17" fillId="0" borderId="3"/>
    <xf numFmtId="0" fontId="17" fillId="0" borderId="3"/>
    <xf numFmtId="0" fontId="18" fillId="0" borderId="4"/>
    <xf numFmtId="0" fontId="18" fillId="0" borderId="4"/>
    <xf numFmtId="0" fontId="19" fillId="0" borderId="5"/>
    <xf numFmtId="0" fontId="19" fillId="0" borderId="5"/>
    <xf numFmtId="0" fontId="19" fillId="0" borderId="0"/>
    <xf numFmtId="0" fontId="19" fillId="0" borderId="0"/>
    <xf numFmtId="0" fontId="20" fillId="7" borderId="1"/>
    <xf numFmtId="0" fontId="20" fillId="7" borderId="1"/>
    <xf numFmtId="0" fontId="21" fillId="0" borderId="6"/>
    <xf numFmtId="0" fontId="21" fillId="0" borderId="6"/>
    <xf numFmtId="0" fontId="22" fillId="22" borderId="0"/>
    <xf numFmtId="0" fontId="22" fillId="22" borderId="0"/>
    <xf numFmtId="0" fontId="7" fillId="23" borderId="7"/>
    <xf numFmtId="0" fontId="7" fillId="23" borderId="7"/>
    <xf numFmtId="0" fontId="23" fillId="20" borderId="8"/>
    <xf numFmtId="0" fontId="23" fillId="20" borderId="8"/>
    <xf numFmtId="0" fontId="24" fillId="0" borderId="0"/>
    <xf numFmtId="0" fontId="24" fillId="0" borderId="0"/>
    <xf numFmtId="0" fontId="1" fillId="0" borderId="9"/>
    <xf numFmtId="0" fontId="1" fillId="0" borderId="9"/>
    <xf numFmtId="0" fontId="25" fillId="0" borderId="0"/>
    <xf numFmtId="0" fontId="25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24" borderId="11" xfId="78" applyFont="1" applyFill="1" applyBorder="1" applyAlignment="1">
      <alignment horizontal="center" vertical="top" wrapText="1"/>
    </xf>
    <xf numFmtId="14" fontId="4" fillId="24" borderId="11" xfId="78" applyNumberFormat="1" applyFont="1" applyFill="1" applyBorder="1" applyAlignment="1">
      <alignment horizontal="center" vertical="top" wrapText="1"/>
    </xf>
    <xf numFmtId="165" fontId="4" fillId="24" borderId="11" xfId="78" applyNumberFormat="1" applyFont="1" applyFill="1" applyBorder="1" applyAlignment="1">
      <alignment horizontal="center" vertical="top" wrapText="1"/>
    </xf>
    <xf numFmtId="21" fontId="4" fillId="24" borderId="11" xfId="78" applyNumberFormat="1" applyFont="1" applyFill="1" applyBorder="1" applyAlignment="1">
      <alignment horizontal="center" vertical="top" wrapText="1"/>
    </xf>
    <xf numFmtId="44" fontId="4" fillId="24" borderId="11" xfId="55" applyFont="1" applyFill="1" applyBorder="1" applyAlignment="1" applyProtection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166" fontId="6" fillId="0" borderId="0" xfId="0" applyNumberFormat="1" applyFont="1" applyAlignment="1" applyProtection="1">
      <alignment horizontal="center" vertical="center" wrapText="1"/>
      <protection locked="0"/>
    </xf>
    <xf numFmtId="14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44" fontId="6" fillId="0" borderId="0" xfId="56" applyFont="1" applyFill="1" applyBorder="1" applyAlignment="1" applyProtection="1">
      <alignment horizontal="center" vertical="center" wrapText="1"/>
    </xf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0" fontId="9" fillId="0" borderId="12" xfId="0" applyFont="1" applyBorder="1" applyAlignment="1">
      <alignment horizontal="center"/>
    </xf>
    <xf numFmtId="44" fontId="9" fillId="0" borderId="13" xfId="0" applyNumberFormat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14" xfId="0" applyFont="1" applyBorder="1" applyAlignment="1">
      <alignment horizontal="center"/>
    </xf>
    <xf numFmtId="9" fontId="9" fillId="0" borderId="14" xfId="0" applyNumberFormat="1" applyFont="1" applyBorder="1" applyAlignment="1">
      <alignment horizontal="center"/>
    </xf>
    <xf numFmtId="44" fontId="9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44" fontId="5" fillId="0" borderId="19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9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26" fillId="0" borderId="0" xfId="70" applyBorder="1" applyAlignment="1" applyProtection="1"/>
    <xf numFmtId="9" fontId="9" fillId="0" borderId="2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9" fillId="0" borderId="22" xfId="0" applyNumberFormat="1" applyFont="1" applyBorder="1" applyAlignment="1">
      <alignment horizontal="center"/>
    </xf>
    <xf numFmtId="0" fontId="1" fillId="0" borderId="0" xfId="0" applyFont="1"/>
    <xf numFmtId="0" fontId="5" fillId="0" borderId="14" xfId="0" applyFont="1" applyBorder="1"/>
    <xf numFmtId="0" fontId="9" fillId="0" borderId="0" xfId="0" applyFont="1"/>
    <xf numFmtId="167" fontId="4" fillId="24" borderId="11" xfId="55" applyNumberFormat="1" applyFont="1" applyFill="1" applyBorder="1" applyAlignment="1" applyProtection="1">
      <alignment horizontal="center" vertical="top" wrapText="1"/>
    </xf>
    <xf numFmtId="167" fontId="0" fillId="0" borderId="0" xfId="0" applyNumberFormat="1"/>
    <xf numFmtId="0" fontId="0" fillId="0" borderId="0" xfId="0" pivotButton="1"/>
    <xf numFmtId="1" fontId="4" fillId="24" borderId="11" xfId="55" applyNumberFormat="1" applyFont="1" applyFill="1" applyBorder="1" applyAlignment="1" applyProtection="1">
      <alignment horizontal="center" vertical="top" wrapText="1"/>
    </xf>
    <xf numFmtId="1" fontId="0" fillId="0" borderId="0" xfId="0" applyNumberFormat="1"/>
    <xf numFmtId="44" fontId="0" fillId="0" borderId="0" xfId="0" applyNumberFormat="1"/>
    <xf numFmtId="0" fontId="27" fillId="0" borderId="0" xfId="0" applyFont="1"/>
    <xf numFmtId="0" fontId="9" fillId="0" borderId="0" xfId="0" applyFont="1" applyAlignment="1">
      <alignment horizontal="center"/>
    </xf>
    <xf numFmtId="44" fontId="6" fillId="0" borderId="0" xfId="55" applyFont="1" applyFill="1" applyBorder="1" applyAlignment="1" applyProtection="1">
      <alignment horizontal="center" vertical="center" wrapText="1"/>
    </xf>
    <xf numFmtId="44" fontId="5" fillId="0" borderId="14" xfId="55" applyFont="1" applyFill="1" applyBorder="1"/>
    <xf numFmtId="44" fontId="5" fillId="0" borderId="0" xfId="55" applyFont="1" applyFill="1" applyAlignment="1">
      <alignment horizontal="center"/>
    </xf>
    <xf numFmtId="0" fontId="0" fillId="0" borderId="10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66" fontId="6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14" fontId="0" fillId="0" borderId="0" xfId="0" applyNumberFormat="1"/>
    <xf numFmtId="46" fontId="6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7" fontId="6" fillId="0" borderId="0" xfId="144" applyNumberFormat="1" applyFont="1" applyAlignment="1">
      <alignment horizontal="center" vertical="center" wrapText="1"/>
    </xf>
    <xf numFmtId="17" fontId="0" fillId="0" borderId="0" xfId="0" applyNumberFormat="1"/>
    <xf numFmtId="1" fontId="7" fillId="0" borderId="0" xfId="144" applyNumberFormat="1"/>
    <xf numFmtId="7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center"/>
    </xf>
    <xf numFmtId="0" fontId="0" fillId="0" borderId="24" xfId="0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top" wrapText="1"/>
    </xf>
    <xf numFmtId="14" fontId="0" fillId="0" borderId="0" xfId="0" applyNumberFormat="1" applyAlignment="1">
      <alignment horizontal="left"/>
    </xf>
    <xf numFmtId="164" fontId="0" fillId="0" borderId="10" xfId="0" applyNumberFormat="1" applyBorder="1" applyAlignment="1">
      <alignment horizontal="left"/>
    </xf>
    <xf numFmtId="164" fontId="0" fillId="0" borderId="23" xfId="0" applyNumberFormat="1" applyBorder="1" applyAlignment="1">
      <alignment horizontal="left"/>
    </xf>
    <xf numFmtId="0" fontId="26" fillId="0" borderId="23" xfId="70" applyFill="1" applyBorder="1" applyAlignment="1" applyProtection="1"/>
    <xf numFmtId="0" fontId="2" fillId="0" borderId="0" xfId="0" applyFont="1" applyAlignment="1">
      <alignment horizontal="center"/>
    </xf>
    <xf numFmtId="0" fontId="0" fillId="0" borderId="23" xfId="0" applyBorder="1" applyAlignment="1">
      <alignment horizontal="left"/>
    </xf>
  </cellXfs>
  <cellStyles count="174">
    <cellStyle name="20% - Accent1 2" xfId="1" xr:uid="{00000000-0005-0000-0000-000000000000}"/>
    <cellStyle name="20% - Accent1 2 2" xfId="89" xr:uid="{A1EA944F-B006-4C28-BC2A-5AF67E413704}"/>
    <cellStyle name="20% - Accent1 3" xfId="2" xr:uid="{00000000-0005-0000-0000-000001000000}"/>
    <cellStyle name="20% - Accent1 3 2" xfId="90" xr:uid="{5CE22556-D7CC-440A-A613-F4C4DFCD3A4C}"/>
    <cellStyle name="20% - Accent2 2" xfId="3" xr:uid="{00000000-0005-0000-0000-000002000000}"/>
    <cellStyle name="20% - Accent2 2 2" xfId="91" xr:uid="{E647CB0B-6308-4550-B705-A0747AF036C4}"/>
    <cellStyle name="20% - Accent2 3" xfId="4" xr:uid="{00000000-0005-0000-0000-000003000000}"/>
    <cellStyle name="20% - Accent2 3 2" xfId="92" xr:uid="{6D79021A-84C8-4587-95C2-486A6BF30FAA}"/>
    <cellStyle name="20% - Accent3 2" xfId="5" xr:uid="{00000000-0005-0000-0000-000004000000}"/>
    <cellStyle name="20% - Accent3 2 2" xfId="93" xr:uid="{DD35AF2E-87FD-46B0-8373-DDB114FC59B4}"/>
    <cellStyle name="20% - Accent3 3" xfId="6" xr:uid="{00000000-0005-0000-0000-000005000000}"/>
    <cellStyle name="20% - Accent3 3 2" xfId="94" xr:uid="{ECD9C053-62C9-496C-8B78-FF302F7467F0}"/>
    <cellStyle name="20% - Accent4 2" xfId="7" xr:uid="{00000000-0005-0000-0000-000006000000}"/>
    <cellStyle name="20% - Accent4 2 2" xfId="95" xr:uid="{3F75DA33-EE45-47FD-9766-5755A4348AAC}"/>
    <cellStyle name="20% - Accent4 3" xfId="8" xr:uid="{00000000-0005-0000-0000-000007000000}"/>
    <cellStyle name="20% - Accent4 3 2" xfId="96" xr:uid="{0F888ECB-FF76-4593-8823-E1671C9E9924}"/>
    <cellStyle name="20% - Accent5 2" xfId="9" xr:uid="{00000000-0005-0000-0000-000008000000}"/>
    <cellStyle name="20% - Accent5 2 2" xfId="97" xr:uid="{8220D8B4-BE58-4558-BE4A-9641DFC5476D}"/>
    <cellStyle name="20% - Accent5 3" xfId="10" xr:uid="{00000000-0005-0000-0000-000009000000}"/>
    <cellStyle name="20% - Accent5 3 2" xfId="98" xr:uid="{AAB29C2D-1037-463A-97D1-D4DDE4B7C0B6}"/>
    <cellStyle name="20% - Accent6 2" xfId="11" xr:uid="{00000000-0005-0000-0000-00000A000000}"/>
    <cellStyle name="20% - Accent6 2 2" xfId="99" xr:uid="{BBDCCAF3-F8CE-41F8-99C0-52B02E42BF14}"/>
    <cellStyle name="20% - Accent6 3" xfId="12" xr:uid="{00000000-0005-0000-0000-00000B000000}"/>
    <cellStyle name="20% - Accent6 3 2" xfId="100" xr:uid="{52A08900-2632-44FB-B859-55FABA73876D}"/>
    <cellStyle name="40% - Accent1 2" xfId="13" xr:uid="{00000000-0005-0000-0000-00000C000000}"/>
    <cellStyle name="40% - Accent1 2 2" xfId="101" xr:uid="{BCDE4BAE-586D-472E-B53D-444DC54E3738}"/>
    <cellStyle name="40% - Accent1 3" xfId="14" xr:uid="{00000000-0005-0000-0000-00000D000000}"/>
    <cellStyle name="40% - Accent1 3 2" xfId="102" xr:uid="{EA75434E-85F1-4657-BD2C-4BEA02070774}"/>
    <cellStyle name="40% - Accent2 2" xfId="15" xr:uid="{00000000-0005-0000-0000-00000E000000}"/>
    <cellStyle name="40% - Accent2 2 2" xfId="103" xr:uid="{5987ADFE-7257-4586-A57D-FCF8D4A17C30}"/>
    <cellStyle name="40% - Accent2 3" xfId="16" xr:uid="{00000000-0005-0000-0000-00000F000000}"/>
    <cellStyle name="40% - Accent2 3 2" xfId="104" xr:uid="{6DEFCFF1-65F4-4AA0-A0DD-9F0F77711F55}"/>
    <cellStyle name="40% - Accent3 2" xfId="17" xr:uid="{00000000-0005-0000-0000-000010000000}"/>
    <cellStyle name="40% - Accent3 2 2" xfId="105" xr:uid="{7A727885-9F7B-4DE3-89A6-FD12DE9A55ED}"/>
    <cellStyle name="40% - Accent3 3" xfId="18" xr:uid="{00000000-0005-0000-0000-000011000000}"/>
    <cellStyle name="40% - Accent3 3 2" xfId="106" xr:uid="{1BA5DAEA-7E84-434A-B0F4-C92BC5411975}"/>
    <cellStyle name="40% - Accent4 2" xfId="19" xr:uid="{00000000-0005-0000-0000-000012000000}"/>
    <cellStyle name="40% - Accent4 2 2" xfId="107" xr:uid="{0BD6C144-4773-4C1A-8560-AD8B680D3D9E}"/>
    <cellStyle name="40% - Accent4 3" xfId="20" xr:uid="{00000000-0005-0000-0000-000013000000}"/>
    <cellStyle name="40% - Accent4 3 2" xfId="108" xr:uid="{24ECCE09-D167-4DA5-BD62-CC9E96B67EB8}"/>
    <cellStyle name="40% - Accent5 2" xfId="21" xr:uid="{00000000-0005-0000-0000-000014000000}"/>
    <cellStyle name="40% - Accent5 2 2" xfId="109" xr:uid="{F4ADFB91-A17B-4C6B-A4A7-EF21CA5640F3}"/>
    <cellStyle name="40% - Accent5 3" xfId="22" xr:uid="{00000000-0005-0000-0000-000015000000}"/>
    <cellStyle name="40% - Accent5 3 2" xfId="110" xr:uid="{1EA1BD8E-16E8-4EF4-B9AF-4F8F0B47AF86}"/>
    <cellStyle name="40% - Accent6 2" xfId="23" xr:uid="{00000000-0005-0000-0000-000016000000}"/>
    <cellStyle name="40% - Accent6 2 2" xfId="111" xr:uid="{AA5595CB-D7F0-4FBA-BFB4-3E2A10CBCD8A}"/>
    <cellStyle name="40% - Accent6 3" xfId="24" xr:uid="{00000000-0005-0000-0000-000017000000}"/>
    <cellStyle name="40% - Accent6 3 2" xfId="112" xr:uid="{042B1B0A-F165-4E14-87EE-02D23B0E30F1}"/>
    <cellStyle name="60% - Accent1 2" xfId="25" xr:uid="{00000000-0005-0000-0000-000018000000}"/>
    <cellStyle name="60% - Accent1 2 2" xfId="113" xr:uid="{6730FF41-3E61-4F59-AD34-C183138DF7F1}"/>
    <cellStyle name="60% - Accent1 3" xfId="26" xr:uid="{00000000-0005-0000-0000-000019000000}"/>
    <cellStyle name="60% - Accent1 3 2" xfId="114" xr:uid="{AF661ADF-1E02-4BC0-99EB-84007406E3B3}"/>
    <cellStyle name="60% - Accent2 2" xfId="27" xr:uid="{00000000-0005-0000-0000-00001A000000}"/>
    <cellStyle name="60% - Accent2 2 2" xfId="115" xr:uid="{BF65D480-3B4E-4265-9986-AB1555A4E42B}"/>
    <cellStyle name="60% - Accent2 3" xfId="28" xr:uid="{00000000-0005-0000-0000-00001B000000}"/>
    <cellStyle name="60% - Accent2 3 2" xfId="116" xr:uid="{6A4CF57C-ACFC-4896-B239-01DCDFFE40D9}"/>
    <cellStyle name="60% - Accent3 2" xfId="29" xr:uid="{00000000-0005-0000-0000-00001C000000}"/>
    <cellStyle name="60% - Accent3 2 2" xfId="117" xr:uid="{AAAAFB67-3004-41CB-B121-BE2A17788D44}"/>
    <cellStyle name="60% - Accent3 3" xfId="30" xr:uid="{00000000-0005-0000-0000-00001D000000}"/>
    <cellStyle name="60% - Accent3 3 2" xfId="118" xr:uid="{BD9C3B31-866B-4399-BBEC-988EBBA7EEE3}"/>
    <cellStyle name="60% - Accent4 2" xfId="31" xr:uid="{00000000-0005-0000-0000-00001E000000}"/>
    <cellStyle name="60% - Accent4 2 2" xfId="119" xr:uid="{41138CC4-B1F7-4EC1-8A82-AE28A77E5D12}"/>
    <cellStyle name="60% - Accent4 3" xfId="32" xr:uid="{00000000-0005-0000-0000-00001F000000}"/>
    <cellStyle name="60% - Accent4 3 2" xfId="120" xr:uid="{9A9976F3-603A-46D0-A457-49A6E6EEF8C6}"/>
    <cellStyle name="60% - Accent5 2" xfId="33" xr:uid="{00000000-0005-0000-0000-000020000000}"/>
    <cellStyle name="60% - Accent5 2 2" xfId="121" xr:uid="{43531E5B-7CB9-413D-860B-877379D0BBEA}"/>
    <cellStyle name="60% - Accent5 3" xfId="34" xr:uid="{00000000-0005-0000-0000-000021000000}"/>
    <cellStyle name="60% - Accent5 3 2" xfId="122" xr:uid="{A1B81A39-8F89-47CB-B5B0-21695519BC37}"/>
    <cellStyle name="60% - Accent6 2" xfId="35" xr:uid="{00000000-0005-0000-0000-000022000000}"/>
    <cellStyle name="60% - Accent6 2 2" xfId="123" xr:uid="{C8DAD96C-DC0C-476B-BBC0-BDAEC0770F42}"/>
    <cellStyle name="60% - Accent6 3" xfId="36" xr:uid="{00000000-0005-0000-0000-000023000000}"/>
    <cellStyle name="60% - Accent6 3 2" xfId="124" xr:uid="{499E7C67-D62B-4D95-886B-4F964B6383BE}"/>
    <cellStyle name="Accent1 2" xfId="37" xr:uid="{00000000-0005-0000-0000-000024000000}"/>
    <cellStyle name="Accent1 2 2" xfId="125" xr:uid="{54206ACD-C68F-421E-99C2-41A1CDBBD8F4}"/>
    <cellStyle name="Accent1 3" xfId="38" xr:uid="{00000000-0005-0000-0000-000025000000}"/>
    <cellStyle name="Accent1 3 2" xfId="126" xr:uid="{1C7EC8D8-8032-4BA5-B253-0788A3C0C33E}"/>
    <cellStyle name="Accent2 2" xfId="39" xr:uid="{00000000-0005-0000-0000-000026000000}"/>
    <cellStyle name="Accent2 2 2" xfId="127" xr:uid="{49BF62E9-D0C2-4E5D-906C-A26F99EFAF7E}"/>
    <cellStyle name="Accent2 3" xfId="40" xr:uid="{00000000-0005-0000-0000-000027000000}"/>
    <cellStyle name="Accent2 3 2" xfId="128" xr:uid="{D6BE9F8E-4D6F-45F1-8E58-D7C9620AB5EC}"/>
    <cellStyle name="Accent3 2" xfId="41" xr:uid="{00000000-0005-0000-0000-000028000000}"/>
    <cellStyle name="Accent3 2 2" xfId="129" xr:uid="{6B143CEA-7D4F-45E9-9B38-161995B96783}"/>
    <cellStyle name="Accent3 3" xfId="42" xr:uid="{00000000-0005-0000-0000-000029000000}"/>
    <cellStyle name="Accent3 3 2" xfId="130" xr:uid="{758A3989-F2D5-482C-9DF9-F4EB85DAA985}"/>
    <cellStyle name="Accent4 2" xfId="43" xr:uid="{00000000-0005-0000-0000-00002A000000}"/>
    <cellStyle name="Accent4 2 2" xfId="131" xr:uid="{D6382DE3-05D0-4914-AC1A-CD199C72FCF0}"/>
    <cellStyle name="Accent4 3" xfId="44" xr:uid="{00000000-0005-0000-0000-00002B000000}"/>
    <cellStyle name="Accent4 3 2" xfId="132" xr:uid="{9811FB33-492A-46AF-8E22-90527582798D}"/>
    <cellStyle name="Accent5 2" xfId="45" xr:uid="{00000000-0005-0000-0000-00002C000000}"/>
    <cellStyle name="Accent5 2 2" xfId="133" xr:uid="{B288867F-E80A-4541-9D1C-B23906AB8C1B}"/>
    <cellStyle name="Accent5 3" xfId="46" xr:uid="{00000000-0005-0000-0000-00002D000000}"/>
    <cellStyle name="Accent5 3 2" xfId="134" xr:uid="{4CE96C33-6870-4415-9F5C-0237BFC12F71}"/>
    <cellStyle name="Accent6 2" xfId="47" xr:uid="{00000000-0005-0000-0000-00002E000000}"/>
    <cellStyle name="Accent6 2 2" xfId="135" xr:uid="{31F4DB85-5844-48E1-9CF7-9EE804DBB4C5}"/>
    <cellStyle name="Accent6 3" xfId="48" xr:uid="{00000000-0005-0000-0000-00002F000000}"/>
    <cellStyle name="Accent6 3 2" xfId="136" xr:uid="{4337F710-5297-45BD-8F3A-FD172B79A0A4}"/>
    <cellStyle name="Bad 2" xfId="49" xr:uid="{00000000-0005-0000-0000-000030000000}"/>
    <cellStyle name="Bad 2 2" xfId="137" xr:uid="{8EAB2CFD-C463-4B4E-A2E8-3BC70404A1BB}"/>
    <cellStyle name="Bad 3" xfId="50" xr:uid="{00000000-0005-0000-0000-000031000000}"/>
    <cellStyle name="Bad 3 2" xfId="138" xr:uid="{4F7285B3-3549-487C-B56C-EA83D5DF946B}"/>
    <cellStyle name="Calculation 2" xfId="51" xr:uid="{00000000-0005-0000-0000-000032000000}"/>
    <cellStyle name="Calculation 2 2" xfId="139" xr:uid="{3D77ED90-2DC4-4388-92B9-D8A2008A0896}"/>
    <cellStyle name="Calculation 3" xfId="52" xr:uid="{00000000-0005-0000-0000-000033000000}"/>
    <cellStyle name="Calculation 3 2" xfId="140" xr:uid="{E473FE9D-A7C5-404E-B23C-F97AADA7F203}"/>
    <cellStyle name="Check Cell 2" xfId="53" xr:uid="{00000000-0005-0000-0000-000034000000}"/>
    <cellStyle name="Check Cell 2 2" xfId="141" xr:uid="{9F7F47B5-1745-468B-9FCB-BB8CDAB988FE}"/>
    <cellStyle name="Check Cell 3" xfId="54" xr:uid="{00000000-0005-0000-0000-000035000000}"/>
    <cellStyle name="Check Cell 3 2" xfId="142" xr:uid="{CEA82766-87E8-45C3-AF8B-E6214EDA5548}"/>
    <cellStyle name="Currency" xfId="55" builtinId="4"/>
    <cellStyle name="Currency 2" xfId="56" xr:uid="{00000000-0005-0000-0000-000037000000}"/>
    <cellStyle name="Currency 2 2" xfId="144" xr:uid="{6E858E28-9C44-4C70-B16C-402E38F9BCB0}"/>
    <cellStyle name="Currency 3" xfId="57" xr:uid="{00000000-0005-0000-0000-000038000000}"/>
    <cellStyle name="Currency 3 2" xfId="145" xr:uid="{27E2139F-B612-4E5A-80A2-45126FC527BD}"/>
    <cellStyle name="Currency 4" xfId="143" xr:uid="{588F2C5E-6022-45FF-85DE-74C71E276A44}"/>
    <cellStyle name="Explanatory Text 2" xfId="58" xr:uid="{00000000-0005-0000-0000-000039000000}"/>
    <cellStyle name="Explanatory Text 2 2" xfId="146" xr:uid="{C856FCD9-FA31-493B-959C-F90E4E7B0309}"/>
    <cellStyle name="Explanatory Text 3" xfId="59" xr:uid="{00000000-0005-0000-0000-00003A000000}"/>
    <cellStyle name="Explanatory Text 3 2" xfId="147" xr:uid="{87671E95-3AD3-4F12-A67A-AC315BFCD706}"/>
    <cellStyle name="Good 2" xfId="60" xr:uid="{00000000-0005-0000-0000-00003B000000}"/>
    <cellStyle name="Good 2 2" xfId="148" xr:uid="{08408B31-06F9-4941-9DAC-9F45C4640C5C}"/>
    <cellStyle name="Good 3" xfId="61" xr:uid="{00000000-0005-0000-0000-00003C000000}"/>
    <cellStyle name="Good 3 2" xfId="149" xr:uid="{3B319917-7789-484A-BF42-32AB90839820}"/>
    <cellStyle name="Heading 1 2" xfId="62" xr:uid="{00000000-0005-0000-0000-00003D000000}"/>
    <cellStyle name="Heading 1 2 2" xfId="150" xr:uid="{C81D2600-821E-4279-A1A1-6DB9474A0588}"/>
    <cellStyle name="Heading 1 3" xfId="63" xr:uid="{00000000-0005-0000-0000-00003E000000}"/>
    <cellStyle name="Heading 1 3 2" xfId="151" xr:uid="{3F2874AD-E2A9-4370-972E-B0FA1F288D65}"/>
    <cellStyle name="Heading 2 2" xfId="64" xr:uid="{00000000-0005-0000-0000-00003F000000}"/>
    <cellStyle name="Heading 2 2 2" xfId="152" xr:uid="{1D7122AB-FF96-44A8-A3DE-FA0ECA6F1FAC}"/>
    <cellStyle name="Heading 2 3" xfId="65" xr:uid="{00000000-0005-0000-0000-000040000000}"/>
    <cellStyle name="Heading 2 3 2" xfId="153" xr:uid="{862AFC39-AE0C-4A85-9C06-682A03D9551E}"/>
    <cellStyle name="Heading 3 2" xfId="66" xr:uid="{00000000-0005-0000-0000-000041000000}"/>
    <cellStyle name="Heading 3 2 2" xfId="154" xr:uid="{FCABBE73-8CE6-4F94-B0D6-BB0106FB8327}"/>
    <cellStyle name="Heading 3 3" xfId="67" xr:uid="{00000000-0005-0000-0000-000042000000}"/>
    <cellStyle name="Heading 3 3 2" xfId="155" xr:uid="{50D371B0-F7CC-4145-801D-A1E61A4C04F6}"/>
    <cellStyle name="Heading 4 2" xfId="68" xr:uid="{00000000-0005-0000-0000-000043000000}"/>
    <cellStyle name="Heading 4 2 2" xfId="156" xr:uid="{7D4726D6-E11B-4240-B2B9-3C3AE819C7E3}"/>
    <cellStyle name="Heading 4 3" xfId="69" xr:uid="{00000000-0005-0000-0000-000044000000}"/>
    <cellStyle name="Heading 4 3 2" xfId="157" xr:uid="{13749401-7178-4E38-9715-8536E55EF7F9}"/>
    <cellStyle name="Hyperlink" xfId="70" builtinId="8"/>
    <cellStyle name="Input 2" xfId="71" xr:uid="{00000000-0005-0000-0000-000046000000}"/>
    <cellStyle name="Input 2 2" xfId="158" xr:uid="{D8482AE6-C05A-4B1C-819F-9BC3F9C54E9D}"/>
    <cellStyle name="Input 3" xfId="72" xr:uid="{00000000-0005-0000-0000-000047000000}"/>
    <cellStyle name="Input 3 2" xfId="159" xr:uid="{E649D259-ED8D-4398-813F-1E21D51F265D}"/>
    <cellStyle name="Linked Cell 2" xfId="73" xr:uid="{00000000-0005-0000-0000-000048000000}"/>
    <cellStyle name="Linked Cell 2 2" xfId="160" xr:uid="{A49B91F3-7E1E-4FB1-A0A5-734C625C6DAD}"/>
    <cellStyle name="Linked Cell 3" xfId="74" xr:uid="{00000000-0005-0000-0000-000049000000}"/>
    <cellStyle name="Linked Cell 3 2" xfId="161" xr:uid="{BE61F4DB-66CC-44B5-AD89-F156FFC4632B}"/>
    <cellStyle name="Neutral 2" xfId="75" xr:uid="{00000000-0005-0000-0000-00004A000000}"/>
    <cellStyle name="Neutral 2 2" xfId="162" xr:uid="{D9BF3C7E-E29B-414B-8E05-BBC97077FF66}"/>
    <cellStyle name="Neutral 3" xfId="76" xr:uid="{00000000-0005-0000-0000-00004B000000}"/>
    <cellStyle name="Neutral 3 2" xfId="163" xr:uid="{65346978-B028-4159-BD65-B97862713497}"/>
    <cellStyle name="Normal" xfId="0" builtinId="0"/>
    <cellStyle name="Normal 2" xfId="77" xr:uid="{00000000-0005-0000-0000-00004D000000}"/>
    <cellStyle name="Normal_10 06 03" xfId="78" xr:uid="{00000000-0005-0000-0000-00004E000000}"/>
    <cellStyle name="Note 2" xfId="79" xr:uid="{00000000-0005-0000-0000-00004F000000}"/>
    <cellStyle name="Note 2 2" xfId="164" xr:uid="{6617BAA1-CDDA-4D26-99CF-6099DFDB2AC7}"/>
    <cellStyle name="Note 3" xfId="80" xr:uid="{00000000-0005-0000-0000-000050000000}"/>
    <cellStyle name="Note 3 2" xfId="165" xr:uid="{0E5B1549-4E65-4BB3-855A-28D2ACEB8778}"/>
    <cellStyle name="Output 2" xfId="81" xr:uid="{00000000-0005-0000-0000-000051000000}"/>
    <cellStyle name="Output 2 2" xfId="166" xr:uid="{CAE2859F-AB1E-4879-9E56-AF3644800845}"/>
    <cellStyle name="Output 3" xfId="82" xr:uid="{00000000-0005-0000-0000-000052000000}"/>
    <cellStyle name="Output 3 2" xfId="167" xr:uid="{0A97ED1F-F2AD-443B-B68B-B3D986346AC9}"/>
    <cellStyle name="Title 2" xfId="83" xr:uid="{00000000-0005-0000-0000-000053000000}"/>
    <cellStyle name="Title 2 2" xfId="168" xr:uid="{B328873B-5A59-4418-957F-F2BD30AD5014}"/>
    <cellStyle name="Title 3" xfId="84" xr:uid="{00000000-0005-0000-0000-000054000000}"/>
    <cellStyle name="Title 3 2" xfId="169" xr:uid="{8AEDC7CC-5F01-4A51-AEBC-97E4E9446C4C}"/>
    <cellStyle name="Total 2" xfId="85" xr:uid="{00000000-0005-0000-0000-000055000000}"/>
    <cellStyle name="Total 2 2" xfId="170" xr:uid="{82C17C1A-BA65-4A98-ADAC-3A4DD0C74E4E}"/>
    <cellStyle name="Total 3" xfId="86" xr:uid="{00000000-0005-0000-0000-000056000000}"/>
    <cellStyle name="Total 3 2" xfId="171" xr:uid="{4A1078E5-00E0-47DC-A8E0-F43225BDD6AA}"/>
    <cellStyle name="Warning Text 2" xfId="87" xr:uid="{00000000-0005-0000-0000-000057000000}"/>
    <cellStyle name="Warning Text 2 2" xfId="172" xr:uid="{AA2FB30A-34C5-4FEE-8752-498747553447}"/>
    <cellStyle name="Warning Text 3" xfId="88" xr:uid="{00000000-0005-0000-0000-000058000000}"/>
    <cellStyle name="Warning Text 3 2" xfId="173" xr:uid="{939365CE-E299-44DE-B368-66866539F441}"/>
  </cellStyles>
  <dxfs count="1"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jahawj" refreshedDate="46079.419204513892" createdVersion="4" refreshedVersion="8" minRefreshableVersion="3" recordCount="70" xr:uid="{00000000-000A-0000-FFFF-FFFF26000000}">
  <cacheSource type="worksheet">
    <worksheetSource ref="A1:AC1048576" sheet="Run Sheet"/>
  </cacheSource>
  <cacheFields count="29">
    <cacheField name="Bill Code" numFmtId="0">
      <sharedItems containsBlank="1"/>
    </cacheField>
    <cacheField name="Air Date" numFmtId="0">
      <sharedItems containsNonDate="0" containsDate="1" containsString="0" containsBlank="1" minDate="2026-03-09T00:00:00" maxDate="2026-03-30T00:00:00"/>
    </cacheField>
    <cacheField name="End Date" numFmtId="0">
      <sharedItems containsNonDate="0" containsDate="1" containsString="0" containsBlank="1" minDate="2026-03-09T00:00:00" maxDate="2026-03-30T00:00:00"/>
    </cacheField>
    <cacheField name="Day" numFmtId="0">
      <sharedItems containsBlank="1"/>
    </cacheField>
    <cacheField name="Time In" numFmtId="0">
      <sharedItems containsNonDate="0" containsDate="1" containsString="0" containsBlank="1" minDate="1899-12-30T11:00:00" maxDate="1899-12-30T12:00:00"/>
    </cacheField>
    <cacheField name="Time out" numFmtId="0">
      <sharedItems containsNonDate="0" containsDate="1" containsString="0" containsBlank="1" minDate="1899-12-30T11:30:00" maxDate="1899-12-30T13:00:00"/>
    </cacheField>
    <cacheField name="Length" numFmtId="0">
      <sharedItems containsNonDate="0" containsDate="1" containsString="0" containsBlank="1" minDate="1899-12-30T00:00:15" maxDate="1899-12-30T00:00:15"/>
    </cacheField>
    <cacheField name="Media" numFmtId="0">
      <sharedItems containsBlank="1"/>
    </cacheField>
    <cacheField name="Program" numFmtId="0">
      <sharedItems containsBlank="1"/>
    </cacheField>
    <cacheField name="Lang." numFmtId="0">
      <sharedItems containsBlank="1"/>
    </cacheField>
    <cacheField name="Format" numFmtId="0">
      <sharedItems containsNonDate="0" containsString="0" containsBlank="1"/>
    </cacheField>
    <cacheField name="#" numFmtId="0">
      <sharedItems containsString="0" containsBlank="1" containsNumber="1" containsInteger="1" minValue="1" maxValue="1"/>
    </cacheField>
    <cacheField name="Line" numFmtId="0">
      <sharedItems containsString="0" containsBlank="1" containsNumber="1" containsInteger="1" minValue="72868" maxValue="72876"/>
    </cacheField>
    <cacheField name="Type" numFmtId="0">
      <sharedItems containsBlank="1"/>
    </cacheField>
    <cacheField name="Estimate" numFmtId="0">
      <sharedItems containsBlank="1"/>
    </cacheField>
    <cacheField name="Gross Rate" numFmtId="0">
      <sharedItems containsString="0" containsBlank="1" containsNumber="1" containsInteger="1" minValue="70" maxValue="70"/>
    </cacheField>
    <cacheField name="Make Good" numFmtId="0">
      <sharedItems containsNonDate="0" containsString="0" containsBlank="1"/>
    </cacheField>
    <cacheField name="Spot Value" numFmtId="0">
      <sharedItems containsString="0" containsBlank="1" containsNumber="1" containsInteger="1" minValue="70" maxValue="70"/>
    </cacheField>
    <cacheField name="Month" numFmtId="0">
      <sharedItems containsNonDate="0" containsDate="1" containsString="0" containsBlank="1" minDate="2026-03-09T00:00:00" maxDate="2026-03-30T00:00:00" count="22">
        <d v="2026-03-10T00:00:00"/>
        <d v="2026-03-13T00:00:00"/>
        <d v="2026-03-16T00:00:00"/>
        <d v="2026-03-18T00:00:00"/>
        <d v="2026-03-25T00:00:00"/>
        <d v="2026-03-11T00:00:00"/>
        <d v="2026-03-12T00:00:00"/>
        <d v="2026-03-19T00:00:00"/>
        <d v="2026-03-23T00:00:00"/>
        <d v="2026-03-27T00:00:00"/>
        <d v="2026-03-09T00:00:00"/>
        <d v="2026-03-17T00:00:00"/>
        <d v="2026-03-20T00:00:00"/>
        <d v="2026-03-24T00:00:00"/>
        <d v="2026-03-26T00:00:00"/>
        <d v="2026-03-14T00:00:00"/>
        <d v="2026-03-15T00:00:00"/>
        <d v="2026-03-21T00:00:00"/>
        <d v="2026-03-29T00:00:00"/>
        <d v="2026-03-22T00:00:00"/>
        <d v="2026-03-28T00:00:00"/>
        <m/>
      </sharedItems>
      <fieldGroup base="18">
        <rangePr groupBy="months" startDate="2026-03-09T00:00:00" endDate="2026-03-30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0/2026"/>
        </groupItems>
      </fieldGroup>
    </cacheField>
    <cacheField name="Broker Fees" numFmtId="0">
      <sharedItems containsString="0" containsBlank="1" containsNumber="1" minValue="10.5" maxValue="10.5"/>
    </cacheField>
    <cacheField name="Priority" numFmtId="1">
      <sharedItems containsString="0" containsBlank="1" containsNumber="1" containsInteger="1" minValue="4" maxValue="4"/>
    </cacheField>
    <cacheField name="Station Net" numFmtId="0">
      <sharedItems containsString="0" containsBlank="1" containsNumber="1" minValue="59.5" maxValue="59.5"/>
    </cacheField>
    <cacheField name="Sales Person" numFmtId="0">
      <sharedItems containsBlank="1"/>
    </cacheField>
    <cacheField name="Revenue Type" numFmtId="0">
      <sharedItems containsBlank="1"/>
    </cacheField>
    <cacheField name="Billing Type" numFmtId="0">
      <sharedItems containsBlank="1"/>
    </cacheField>
    <cacheField name="Agency?" numFmtId="0">
      <sharedItems containsBlank="1"/>
    </cacheField>
    <cacheField name="Affidavit?" numFmtId="0">
      <sharedItems containsBlank="1"/>
    </cacheField>
    <cacheField name="Contract" numFmtId="0">
      <sharedItems containsBlank="1"/>
    </cacheField>
    <cacheField name="Mark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Admerasia Inc.:McDonald's"/>
    <d v="2026-03-10T00:00:00"/>
    <d v="2026-03-10T00:00:00"/>
    <s v="Tuesday"/>
    <d v="1899-12-30T11:00:00"/>
    <d v="1899-12-30T11:30:00"/>
    <d v="1899-12-30T00:00:15"/>
    <s v="MD15V376: ACM Yes VIE (MCIV005526VH)"/>
    <s v="11:08:00"/>
    <s v="V"/>
    <m/>
    <n v="1"/>
    <n v="72868"/>
    <s v="COM"/>
    <s v="6SF 2603"/>
    <n v="70"/>
    <m/>
    <n v="70"/>
    <x v="0"/>
    <n v="10.5"/>
    <n v="4"/>
    <n v="59.5"/>
    <s v="Charmaine Lane"/>
    <s v="Internal Ad Sales"/>
    <s v="Calendar"/>
    <s v="Agency"/>
    <s v="Y"/>
    <s v="2559"/>
    <s v="SFO"/>
  </r>
  <r>
    <s v="Admerasia Inc.:McDonald's"/>
    <d v="2026-03-13T00:00:00"/>
    <d v="2026-03-13T00:00:00"/>
    <s v="Friday"/>
    <d v="1899-12-30T11:00:00"/>
    <d v="1899-12-30T11:30:00"/>
    <d v="1899-12-30T00:00:15"/>
    <s v="MD15V376: ACM Yes VIE (MCIV005526VH)"/>
    <s v="11:08:00"/>
    <s v="V"/>
    <m/>
    <n v="1"/>
    <n v="72868"/>
    <s v="COM"/>
    <s v="6SF 2603"/>
    <n v="70"/>
    <m/>
    <n v="70"/>
    <x v="1"/>
    <n v="10.5"/>
    <n v="4"/>
    <n v="59.5"/>
    <s v="Charmaine Lane"/>
    <s v="Internal Ad Sales"/>
    <s v="Calendar"/>
    <s v="Agency"/>
    <s v="Y"/>
    <s v="2559"/>
    <s v="SFO"/>
  </r>
  <r>
    <s v="Admerasia Inc.:McDonald's"/>
    <d v="2026-03-16T00:00:00"/>
    <d v="2026-03-16T00:00:00"/>
    <s v="Monday"/>
    <d v="1899-12-30T11:00:00"/>
    <d v="1899-12-30T11:30:00"/>
    <d v="1899-12-30T00:00:15"/>
    <s v="MD15V377: ACM Name VIE (MCIV006526VH)"/>
    <s v="11:08:00"/>
    <s v="V"/>
    <m/>
    <n v="1"/>
    <n v="72868"/>
    <s v="COM"/>
    <s v="6SF 2603"/>
    <n v="70"/>
    <m/>
    <n v="70"/>
    <x v="2"/>
    <n v="10.5"/>
    <n v="4"/>
    <n v="59.5"/>
    <s v="Charmaine Lane"/>
    <s v="Internal Ad Sales"/>
    <s v="Calendar"/>
    <s v="Agency"/>
    <s v="Y"/>
    <s v="2559"/>
    <s v="SFO"/>
  </r>
  <r>
    <s v="Admerasia Inc.:McDonald's"/>
    <d v="2026-03-18T00:00:00"/>
    <d v="2026-03-18T00:00:00"/>
    <s v="Wednesday"/>
    <d v="1899-12-30T11:00:00"/>
    <d v="1899-12-30T11:30:00"/>
    <d v="1899-12-30T00:00:15"/>
    <s v="MD15V377: ACM Name VIE (MCIV006526VH)"/>
    <s v="11:08:00"/>
    <s v="V"/>
    <m/>
    <n v="1"/>
    <n v="72868"/>
    <s v="COM"/>
    <s v="6SF 2603"/>
    <n v="70"/>
    <m/>
    <n v="70"/>
    <x v="3"/>
    <n v="10.5"/>
    <n v="4"/>
    <n v="59.5"/>
    <s v="Charmaine Lane"/>
    <s v="Internal Ad Sales"/>
    <s v="Calendar"/>
    <s v="Agency"/>
    <s v="Y"/>
    <s v="2559"/>
    <s v="SFO"/>
  </r>
  <r>
    <s v="Admerasia Inc.:McDonald's"/>
    <d v="2026-03-25T00:00:00"/>
    <d v="2026-03-25T00:00:00"/>
    <s v="Wednesday"/>
    <d v="1899-12-30T11:00:00"/>
    <d v="1899-12-30T11:30:00"/>
    <d v="1899-12-30T00:00:15"/>
    <s v="MD15V376: ACM Yes VIE (MCIV005526VH)"/>
    <s v="11:08:00"/>
    <s v="V"/>
    <m/>
    <n v="1"/>
    <n v="72868"/>
    <s v="COM"/>
    <s v="6SF 2603"/>
    <n v="70"/>
    <m/>
    <n v="70"/>
    <x v="4"/>
    <n v="10.5"/>
    <n v="4"/>
    <n v="59.5"/>
    <s v="Charmaine Lane"/>
    <s v="Internal Ad Sales"/>
    <s v="Calendar"/>
    <s v="Agency"/>
    <s v="Y"/>
    <s v="2559"/>
    <s v="SFO"/>
  </r>
  <r>
    <s v="Admerasia Inc.:McDonald's"/>
    <d v="2026-03-11T00:00:00"/>
    <d v="2026-03-11T00:00:00"/>
    <s v="Wednesday"/>
    <d v="1899-12-30T11:00:00"/>
    <d v="1899-12-30T11:30:00"/>
    <d v="1899-12-30T00:00:15"/>
    <s v="MD15V376: ACM Yes VIE (MCIV005526VH)"/>
    <s v="11:18:00"/>
    <s v="V"/>
    <m/>
    <n v="1"/>
    <n v="72868"/>
    <s v="COM"/>
    <s v="6SF 2603"/>
    <n v="70"/>
    <m/>
    <n v="70"/>
    <x v="5"/>
    <n v="10.5"/>
    <n v="4"/>
    <n v="59.5"/>
    <s v="Charmaine Lane"/>
    <s v="Internal Ad Sales"/>
    <s v="Calendar"/>
    <s v="Agency"/>
    <s v="Y"/>
    <s v="2559"/>
    <s v="SFO"/>
  </r>
  <r>
    <s v="Admerasia Inc.:McDonald's"/>
    <d v="2026-03-12T00:00:00"/>
    <d v="2026-03-12T00:00:00"/>
    <s v="Thursday"/>
    <d v="1899-12-30T11:00:00"/>
    <d v="1899-12-30T11:30:00"/>
    <d v="1899-12-30T00:00:15"/>
    <s v="MD15V376: ACM Yes VIE (MCIV005526VH)"/>
    <s v="11:18:00"/>
    <s v="V"/>
    <m/>
    <n v="1"/>
    <n v="72868"/>
    <s v="COM"/>
    <s v="6SF 2603"/>
    <n v="70"/>
    <m/>
    <n v="70"/>
    <x v="6"/>
    <n v="10.5"/>
    <n v="4"/>
    <n v="59.5"/>
    <s v="Charmaine Lane"/>
    <s v="Internal Ad Sales"/>
    <s v="Calendar"/>
    <s v="Agency"/>
    <s v="Y"/>
    <s v="2559"/>
    <s v="SFO"/>
  </r>
  <r>
    <s v="Admerasia Inc.:McDonald's"/>
    <d v="2026-03-19T00:00:00"/>
    <d v="2026-03-19T00:00:00"/>
    <s v="Thursday"/>
    <d v="1899-12-30T11:00:00"/>
    <d v="1899-12-30T11:30:00"/>
    <d v="1899-12-30T00:00:15"/>
    <s v="MD15V377: ACM Name VIE (MCIV006526VH)"/>
    <s v="11:18:00"/>
    <s v="V"/>
    <m/>
    <n v="1"/>
    <n v="72868"/>
    <s v="COM"/>
    <s v="6SF 2603"/>
    <n v="70"/>
    <m/>
    <n v="70"/>
    <x v="7"/>
    <n v="10.5"/>
    <n v="4"/>
    <n v="59.5"/>
    <s v="Charmaine Lane"/>
    <s v="Internal Ad Sales"/>
    <s v="Calendar"/>
    <s v="Agency"/>
    <s v="Y"/>
    <s v="2559"/>
    <s v="SFO"/>
  </r>
  <r>
    <s v="Admerasia Inc.:McDonald's"/>
    <d v="2026-03-23T00:00:00"/>
    <d v="2026-03-23T00:00:00"/>
    <s v="Monday"/>
    <d v="1899-12-30T11:00:00"/>
    <d v="1899-12-30T11:30:00"/>
    <d v="1899-12-30T00:00:15"/>
    <s v="MD15V376: ACM Yes VIE (MCIV005526VH)"/>
    <s v="11:18:00"/>
    <s v="V"/>
    <m/>
    <n v="1"/>
    <n v="72868"/>
    <s v="COM"/>
    <s v="6SF 2603"/>
    <n v="70"/>
    <m/>
    <n v="70"/>
    <x v="8"/>
    <n v="10.5"/>
    <n v="4"/>
    <n v="59.5"/>
    <s v="Charmaine Lane"/>
    <s v="Internal Ad Sales"/>
    <s v="Calendar"/>
    <s v="Agency"/>
    <s v="Y"/>
    <s v="2559"/>
    <s v="SFO"/>
  </r>
  <r>
    <s v="Admerasia Inc.:McDonald's"/>
    <d v="2026-03-27T00:00:00"/>
    <d v="2026-03-27T00:00:00"/>
    <s v="Friday"/>
    <d v="1899-12-30T11:00:00"/>
    <d v="1899-12-30T11:30:00"/>
    <d v="1899-12-30T00:00:15"/>
    <s v="MD15V376: ACM Yes VIE (MCIV005526VH)"/>
    <s v="11:18:00"/>
    <s v="V"/>
    <m/>
    <n v="1"/>
    <n v="72868"/>
    <s v="COM"/>
    <s v="6SF 2603"/>
    <n v="70"/>
    <m/>
    <n v="70"/>
    <x v="9"/>
    <n v="10.5"/>
    <n v="4"/>
    <n v="59.5"/>
    <s v="Charmaine Lane"/>
    <s v="Internal Ad Sales"/>
    <s v="Calendar"/>
    <s v="Agency"/>
    <s v="Y"/>
    <s v="2559"/>
    <s v="SFO"/>
  </r>
  <r>
    <s v="Admerasia Inc.:McDonald's"/>
    <d v="2026-03-09T00:00:00"/>
    <d v="2026-03-09T00:00:00"/>
    <s v="Monday"/>
    <d v="1899-12-30T11:00:00"/>
    <d v="1899-12-30T11:30:00"/>
    <d v="1899-12-30T00:00:15"/>
    <s v="MD15V376: ACM Yes VIE (MCIV005526VH)"/>
    <s v="11:28:00"/>
    <s v="V"/>
    <m/>
    <n v="1"/>
    <n v="72868"/>
    <s v="COM"/>
    <s v="6SF 2603"/>
    <n v="70"/>
    <m/>
    <n v="70"/>
    <x v="10"/>
    <n v="10.5"/>
    <n v="4"/>
    <n v="59.5"/>
    <s v="Charmaine Lane"/>
    <s v="Internal Ad Sales"/>
    <s v="Calendar"/>
    <s v="Agency"/>
    <s v="Y"/>
    <s v="2559"/>
    <s v="SFO"/>
  </r>
  <r>
    <s v="Admerasia Inc.:McDonald's"/>
    <d v="2026-03-17T00:00:00"/>
    <d v="2026-03-17T00:00:00"/>
    <s v="Tuesday"/>
    <d v="1899-12-30T11:00:00"/>
    <d v="1899-12-30T11:30:00"/>
    <d v="1899-12-30T00:00:15"/>
    <s v="MD15V377: ACM Name VIE (MCIV006526VH)"/>
    <s v="11:28:00"/>
    <s v="V"/>
    <m/>
    <n v="1"/>
    <n v="72868"/>
    <s v="COM"/>
    <s v="6SF 2603"/>
    <n v="70"/>
    <m/>
    <n v="70"/>
    <x v="11"/>
    <n v="10.5"/>
    <n v="4"/>
    <n v="59.5"/>
    <s v="Charmaine Lane"/>
    <s v="Internal Ad Sales"/>
    <s v="Calendar"/>
    <s v="Agency"/>
    <s v="Y"/>
    <s v="2559"/>
    <s v="SFO"/>
  </r>
  <r>
    <s v="Admerasia Inc.:McDonald's"/>
    <d v="2026-03-20T00:00:00"/>
    <d v="2026-03-20T00:00:00"/>
    <s v="Friday"/>
    <d v="1899-12-30T11:00:00"/>
    <d v="1899-12-30T11:30:00"/>
    <d v="1899-12-30T00:00:15"/>
    <s v="MD15V377: ACM Name VIE (MCIV006526VH)"/>
    <s v="11:28:00"/>
    <s v="V"/>
    <m/>
    <n v="1"/>
    <n v="72868"/>
    <s v="COM"/>
    <s v="6SF 2603"/>
    <n v="70"/>
    <m/>
    <n v="70"/>
    <x v="12"/>
    <n v="10.5"/>
    <n v="4"/>
    <n v="59.5"/>
    <s v="Charmaine Lane"/>
    <s v="Internal Ad Sales"/>
    <s v="Calendar"/>
    <s v="Agency"/>
    <s v="Y"/>
    <s v="2559"/>
    <s v="SFO"/>
  </r>
  <r>
    <s v="Admerasia Inc.:McDonald's"/>
    <d v="2026-03-24T00:00:00"/>
    <d v="2026-03-24T00:00:00"/>
    <s v="Tuesday"/>
    <d v="1899-12-30T11:00:00"/>
    <d v="1899-12-30T11:30:00"/>
    <d v="1899-12-30T00:00:15"/>
    <s v="MD15V376: ACM Yes VIE (MCIV005526VH)"/>
    <s v="11:28:00"/>
    <s v="V"/>
    <m/>
    <n v="1"/>
    <n v="72868"/>
    <s v="COM"/>
    <s v="6SF 2603"/>
    <n v="70"/>
    <m/>
    <n v="70"/>
    <x v="13"/>
    <n v="10.5"/>
    <n v="4"/>
    <n v="59.5"/>
    <s v="Charmaine Lane"/>
    <s v="Internal Ad Sales"/>
    <s v="Calendar"/>
    <s v="Agency"/>
    <s v="Y"/>
    <s v="2559"/>
    <s v="SFO"/>
  </r>
  <r>
    <s v="Admerasia Inc.:McDonald's"/>
    <d v="2026-03-26T00:00:00"/>
    <d v="2026-03-26T00:00:00"/>
    <s v="Thursday"/>
    <d v="1899-12-30T11:00:00"/>
    <d v="1899-12-30T11:30:00"/>
    <d v="1899-12-30T00:00:15"/>
    <s v="MD15V376: ACM Yes VIE (MCIV005526VH)"/>
    <s v="11:28:00"/>
    <s v="V"/>
    <m/>
    <n v="1"/>
    <n v="72868"/>
    <s v="COM"/>
    <s v="6SF 2603"/>
    <n v="70"/>
    <m/>
    <n v="70"/>
    <x v="14"/>
    <n v="10.5"/>
    <n v="4"/>
    <n v="59.5"/>
    <s v="Charmaine Lane"/>
    <s v="Internal Ad Sales"/>
    <s v="Calendar"/>
    <s v="Agency"/>
    <s v="Y"/>
    <s v="2559"/>
    <s v="SFO"/>
  </r>
  <r>
    <s v="Admerasia Inc.:McDonald's"/>
    <d v="2026-03-11T00:00:00"/>
    <d v="2026-03-11T00:00:00"/>
    <s v="Wednesday"/>
    <d v="1899-12-30T11:30:00"/>
    <d v="1899-12-30T12:00:00"/>
    <d v="1899-12-30T00:00:15"/>
    <s v="MD15V377: ACM Name VIE (MCIV006526VH)"/>
    <s v="11:40:30"/>
    <s v="V"/>
    <m/>
    <n v="1"/>
    <n v="72869"/>
    <s v="COM"/>
    <s v="6SF 2603"/>
    <n v="70"/>
    <m/>
    <n v="70"/>
    <x v="5"/>
    <n v="10.5"/>
    <n v="4"/>
    <n v="59.5"/>
    <s v="Charmaine Lane"/>
    <s v="Internal Ad Sales"/>
    <s v="Calendar"/>
    <s v="Agency"/>
    <s v="Y"/>
    <s v="2559"/>
    <s v="SFO"/>
  </r>
  <r>
    <s v="Admerasia Inc.:McDonald's"/>
    <d v="2026-03-18T00:00:00"/>
    <d v="2026-03-18T00:00:00"/>
    <s v="Wednesday"/>
    <d v="1899-12-30T11:30:00"/>
    <d v="1899-12-30T12:00:00"/>
    <d v="1899-12-30T00:00:15"/>
    <s v="MD15V376: ACM Yes VIE (MCIV005526VH)"/>
    <s v="11:40:30"/>
    <s v="V"/>
    <m/>
    <n v="1"/>
    <n v="72869"/>
    <s v="COM"/>
    <s v="6SF 2603"/>
    <n v="70"/>
    <m/>
    <n v="70"/>
    <x v="3"/>
    <n v="10.5"/>
    <n v="4"/>
    <n v="59.5"/>
    <s v="Charmaine Lane"/>
    <s v="Internal Ad Sales"/>
    <s v="Calendar"/>
    <s v="Agency"/>
    <s v="Y"/>
    <s v="2559"/>
    <s v="SFO"/>
  </r>
  <r>
    <s v="Admerasia Inc.:McDonald's"/>
    <d v="2026-03-25T00:00:00"/>
    <d v="2026-03-25T00:00:00"/>
    <s v="Wednesday"/>
    <d v="1899-12-30T11:30:00"/>
    <d v="1899-12-30T12:00:00"/>
    <d v="1899-12-30T00:00:15"/>
    <s v="MD15V377: ACM Name VIE (MCIV006526VH)"/>
    <s v="11:40:30"/>
    <s v="V"/>
    <m/>
    <n v="1"/>
    <n v="72869"/>
    <s v="COM"/>
    <s v="6SF 2603"/>
    <n v="70"/>
    <m/>
    <n v="70"/>
    <x v="4"/>
    <n v="10.5"/>
    <n v="4"/>
    <n v="59.5"/>
    <s v="Charmaine Lane"/>
    <s v="Internal Ad Sales"/>
    <s v="Calendar"/>
    <s v="Agency"/>
    <s v="Y"/>
    <s v="2559"/>
    <s v="SFO"/>
  </r>
  <r>
    <s v="Admerasia Inc.:McDonald's"/>
    <d v="2026-03-10T00:00:00"/>
    <d v="2026-03-10T00:00:00"/>
    <s v="Tuesday"/>
    <d v="1899-12-30T11:30:00"/>
    <d v="1899-12-30T12:00:00"/>
    <d v="1899-12-30T00:00:15"/>
    <s v="MD15V377: ACM Name VIE (MCIV006526VH)"/>
    <s v="11:41:30"/>
    <s v="V"/>
    <m/>
    <n v="1"/>
    <n v="72869"/>
    <s v="COM"/>
    <s v="6SF 2603"/>
    <n v="70"/>
    <m/>
    <n v="70"/>
    <x v="0"/>
    <n v="10.5"/>
    <n v="4"/>
    <n v="59.5"/>
    <s v="Charmaine Lane"/>
    <s v="Internal Ad Sales"/>
    <s v="Calendar"/>
    <s v="Agency"/>
    <s v="Y"/>
    <s v="2559"/>
    <s v="SFO"/>
  </r>
  <r>
    <s v="Admerasia Inc.:McDonald's"/>
    <d v="2026-03-17T00:00:00"/>
    <d v="2026-03-17T00:00:00"/>
    <s v="Tuesday"/>
    <d v="1899-12-30T11:30:00"/>
    <d v="1899-12-30T12:00:00"/>
    <d v="1899-12-30T00:00:15"/>
    <s v="MD15V376: ACM Yes VIE (MCIV005526VH)"/>
    <s v="11:41:30"/>
    <s v="V"/>
    <m/>
    <n v="1"/>
    <n v="72869"/>
    <s v="COM"/>
    <s v="6SF 2603"/>
    <n v="70"/>
    <m/>
    <n v="70"/>
    <x v="11"/>
    <n v="10.5"/>
    <n v="4"/>
    <n v="59.5"/>
    <s v="Charmaine Lane"/>
    <s v="Internal Ad Sales"/>
    <s v="Calendar"/>
    <s v="Agency"/>
    <s v="Y"/>
    <s v="2559"/>
    <s v="SFO"/>
  </r>
  <r>
    <s v="Admerasia Inc.:McDonald's"/>
    <d v="2026-03-24T00:00:00"/>
    <d v="2026-03-24T00:00:00"/>
    <s v="Tuesday"/>
    <d v="1899-12-30T11:30:00"/>
    <d v="1899-12-30T12:00:00"/>
    <d v="1899-12-30T00:00:15"/>
    <s v="MD15V377: ACM Name VIE (MCIV006526VH)"/>
    <s v="11:41:30"/>
    <s v="V"/>
    <m/>
    <n v="1"/>
    <n v="72869"/>
    <s v="COM"/>
    <s v="6SF 2603"/>
    <n v="70"/>
    <m/>
    <n v="70"/>
    <x v="13"/>
    <n v="10.5"/>
    <n v="4"/>
    <n v="59.5"/>
    <s v="Charmaine Lane"/>
    <s v="Internal Ad Sales"/>
    <s v="Calendar"/>
    <s v="Agency"/>
    <s v="Y"/>
    <s v="2559"/>
    <s v="SFO"/>
  </r>
  <r>
    <s v="Admerasia Inc.:McDonald's"/>
    <d v="2026-03-12T00:00:00"/>
    <d v="2026-03-12T00:00:00"/>
    <s v="Thursday"/>
    <d v="1899-12-30T11:30:00"/>
    <d v="1899-12-30T12:00:00"/>
    <d v="1899-12-30T00:00:15"/>
    <s v="MD15V377: ACM Name VIE (MCIV006526VH)"/>
    <s v="11:42:00"/>
    <s v="V"/>
    <m/>
    <n v="1"/>
    <n v="72869"/>
    <s v="COM"/>
    <s v="6SF 2603"/>
    <n v="70"/>
    <m/>
    <n v="70"/>
    <x v="6"/>
    <n v="10.5"/>
    <n v="4"/>
    <n v="59.5"/>
    <s v="Charmaine Lane"/>
    <s v="Internal Ad Sales"/>
    <s v="Calendar"/>
    <s v="Agency"/>
    <s v="Y"/>
    <s v="2559"/>
    <s v="SFO"/>
  </r>
  <r>
    <s v="Admerasia Inc.:McDonald's"/>
    <d v="2026-03-19T00:00:00"/>
    <d v="2026-03-19T00:00:00"/>
    <s v="Thursday"/>
    <d v="1899-12-30T11:30:00"/>
    <d v="1899-12-30T12:00:00"/>
    <d v="1899-12-30T00:00:15"/>
    <s v="MD15V376: ACM Yes VIE (MCIV005526VH)"/>
    <s v="11:42:00"/>
    <s v="V"/>
    <m/>
    <n v="1"/>
    <n v="72869"/>
    <s v="COM"/>
    <s v="6SF 2603"/>
    <n v="70"/>
    <m/>
    <n v="70"/>
    <x v="7"/>
    <n v="10.5"/>
    <n v="4"/>
    <n v="59.5"/>
    <s v="Charmaine Lane"/>
    <s v="Internal Ad Sales"/>
    <s v="Calendar"/>
    <s v="Agency"/>
    <s v="Y"/>
    <s v="2559"/>
    <s v="SFO"/>
  </r>
  <r>
    <s v="Admerasia Inc.:McDonald's"/>
    <d v="2026-03-09T00:00:00"/>
    <d v="2026-03-09T00:00:00"/>
    <s v="Monday"/>
    <d v="1899-12-30T11:30:00"/>
    <d v="1899-12-30T12:00:00"/>
    <d v="1899-12-30T00:00:15"/>
    <s v="MD15V377: ACM Name VIE (MCIV006526VH)"/>
    <s v="11:49:00"/>
    <s v="V"/>
    <m/>
    <n v="1"/>
    <n v="72869"/>
    <s v="COM"/>
    <s v="6SF 2603"/>
    <n v="70"/>
    <m/>
    <n v="70"/>
    <x v="10"/>
    <n v="10.5"/>
    <n v="4"/>
    <n v="59.5"/>
    <s v="Charmaine Lane"/>
    <s v="Internal Ad Sales"/>
    <s v="Calendar"/>
    <s v="Agency"/>
    <s v="Y"/>
    <s v="2559"/>
    <s v="SFO"/>
  </r>
  <r>
    <s v="Admerasia Inc.:McDonald's"/>
    <d v="2026-03-16T00:00:00"/>
    <d v="2026-03-16T00:00:00"/>
    <s v="Monday"/>
    <d v="1899-12-30T11:30:00"/>
    <d v="1899-12-30T12:00:00"/>
    <d v="1899-12-30T00:00:15"/>
    <s v="MD15V376: ACM Yes VIE (MCIV005526VH)"/>
    <s v="11:49:00"/>
    <s v="V"/>
    <m/>
    <n v="1"/>
    <n v="72869"/>
    <s v="COM"/>
    <s v="6SF 2603"/>
    <n v="70"/>
    <m/>
    <n v="70"/>
    <x v="2"/>
    <n v="10.5"/>
    <n v="4"/>
    <n v="59.5"/>
    <s v="Charmaine Lane"/>
    <s v="Internal Ad Sales"/>
    <s v="Calendar"/>
    <s v="Agency"/>
    <s v="Y"/>
    <s v="2559"/>
    <s v="SFO"/>
  </r>
  <r>
    <s v="Admerasia Inc.:McDonald's"/>
    <d v="2026-03-23T00:00:00"/>
    <d v="2026-03-23T00:00:00"/>
    <s v="Monday"/>
    <d v="1899-12-30T11:30:00"/>
    <d v="1899-12-30T12:00:00"/>
    <d v="1899-12-30T00:00:15"/>
    <s v="MD15V377: ACM Name VIE (MCIV006526VH)"/>
    <s v="11:49:00"/>
    <s v="V"/>
    <m/>
    <n v="1"/>
    <n v="72869"/>
    <s v="COM"/>
    <s v="6SF 2603"/>
    <n v="70"/>
    <m/>
    <n v="70"/>
    <x v="8"/>
    <n v="10.5"/>
    <n v="4"/>
    <n v="59.5"/>
    <s v="Charmaine Lane"/>
    <s v="Internal Ad Sales"/>
    <s v="Calendar"/>
    <s v="Agency"/>
    <s v="Y"/>
    <s v="2559"/>
    <s v="SFO"/>
  </r>
  <r>
    <s v="Admerasia Inc.:McDonald's"/>
    <d v="2026-03-26T00:00:00"/>
    <d v="2026-03-26T00:00:00"/>
    <s v="Thursday"/>
    <d v="1899-12-30T11:30:00"/>
    <d v="1899-12-30T12:00:00"/>
    <d v="1899-12-30T00:00:15"/>
    <s v="MD15V377: ACM Name VIE (MCIV006526VH)"/>
    <s v="11:56:30"/>
    <s v="V"/>
    <m/>
    <n v="1"/>
    <n v="72869"/>
    <s v="COM"/>
    <s v="6SF 2603"/>
    <n v="70"/>
    <m/>
    <n v="70"/>
    <x v="14"/>
    <n v="10.5"/>
    <n v="4"/>
    <n v="59.5"/>
    <s v="Charmaine Lane"/>
    <s v="Internal Ad Sales"/>
    <s v="Calendar"/>
    <s v="Agency"/>
    <s v="Y"/>
    <s v="2559"/>
    <s v="SFO"/>
  </r>
  <r>
    <s v="Admerasia Inc.:McDonald's"/>
    <d v="2026-03-13T00:00:00"/>
    <d v="2026-03-13T00:00:00"/>
    <s v="Friday"/>
    <d v="1899-12-30T11:30:00"/>
    <d v="1899-12-30T12:00:00"/>
    <d v="1899-12-30T00:00:15"/>
    <s v="MD15V377: ACM Name VIE (MCIV006526VH)"/>
    <s v="11:57:00"/>
    <s v="V"/>
    <m/>
    <n v="1"/>
    <n v="72869"/>
    <s v="COM"/>
    <s v="6SF 2603"/>
    <n v="70"/>
    <m/>
    <n v="70"/>
    <x v="1"/>
    <n v="10.5"/>
    <n v="4"/>
    <n v="59.5"/>
    <s v="Charmaine Lane"/>
    <s v="Internal Ad Sales"/>
    <s v="Calendar"/>
    <s v="Agency"/>
    <s v="Y"/>
    <s v="2559"/>
    <s v="SFO"/>
  </r>
  <r>
    <s v="Admerasia Inc.:McDonald's"/>
    <d v="2026-03-20T00:00:00"/>
    <d v="2026-03-20T00:00:00"/>
    <s v="Friday"/>
    <d v="1899-12-30T11:30:00"/>
    <d v="1899-12-30T12:00:00"/>
    <d v="1899-12-30T00:00:15"/>
    <s v="MD15V376: ACM Yes VIE (MCIV005526VH)"/>
    <s v="11:57:00"/>
    <s v="V"/>
    <m/>
    <n v="1"/>
    <n v="72869"/>
    <s v="COM"/>
    <s v="6SF 2603"/>
    <n v="70"/>
    <m/>
    <n v="70"/>
    <x v="12"/>
    <n v="10.5"/>
    <n v="4"/>
    <n v="59.5"/>
    <s v="Charmaine Lane"/>
    <s v="Internal Ad Sales"/>
    <s v="Calendar"/>
    <s v="Agency"/>
    <s v="Y"/>
    <s v="2559"/>
    <s v="SFO"/>
  </r>
  <r>
    <s v="Admerasia Inc.:McDonald's"/>
    <d v="2026-03-27T00:00:00"/>
    <d v="2026-03-27T00:00:00"/>
    <s v="Friday"/>
    <d v="1899-12-30T11:30:00"/>
    <d v="1899-12-30T12:00:00"/>
    <d v="1899-12-30T00:00:15"/>
    <s v="MD15V377: ACM Name VIE (MCIV006526VH)"/>
    <s v="11:57:00"/>
    <s v="V"/>
    <m/>
    <n v="1"/>
    <n v="72869"/>
    <s v="COM"/>
    <s v="6SF 2603"/>
    <n v="70"/>
    <m/>
    <n v="70"/>
    <x v="9"/>
    <n v="10.5"/>
    <n v="4"/>
    <n v="59.5"/>
    <s v="Charmaine Lane"/>
    <s v="Internal Ad Sales"/>
    <s v="Calendar"/>
    <s v="Agency"/>
    <s v="Y"/>
    <s v="2559"/>
    <s v="SFO"/>
  </r>
  <r>
    <s v="Admerasia Inc.:McDonald's"/>
    <d v="2026-03-14T00:00:00"/>
    <d v="2026-03-14T00:00:00"/>
    <s v="Saturday"/>
    <d v="1899-12-30T11:00:00"/>
    <d v="1899-12-30T12:00:00"/>
    <d v="1899-12-30T00:00:15"/>
    <s v="MD15V376: ACM Yes VIE (MCIV005526VH)"/>
    <s v="11:08:00"/>
    <s v="V"/>
    <m/>
    <n v="1"/>
    <n v="72870"/>
    <s v="COM"/>
    <s v="6SF 2603"/>
    <n v="70"/>
    <m/>
    <n v="70"/>
    <x v="15"/>
    <n v="10.5"/>
    <n v="4"/>
    <n v="59.5"/>
    <s v="Charmaine Lane"/>
    <s v="Internal Ad Sales"/>
    <s v="Calendar"/>
    <s v="Agency"/>
    <s v="Y"/>
    <s v="2559"/>
    <s v="SFO"/>
  </r>
  <r>
    <s v="Admerasia Inc.:McDonald's"/>
    <d v="2026-03-15T00:00:00"/>
    <d v="2026-03-15T00:00:00"/>
    <s v="Sunday"/>
    <d v="1899-12-30T11:00:00"/>
    <d v="1899-12-30T12:00:00"/>
    <d v="1899-12-30T00:00:15"/>
    <s v="MD15V376: ACM Yes VIE (MCIV005526VH)"/>
    <s v="11:08:00"/>
    <s v="V"/>
    <m/>
    <n v="1"/>
    <n v="72870"/>
    <s v="COM"/>
    <s v="6SF 2603"/>
    <n v="70"/>
    <m/>
    <n v="70"/>
    <x v="16"/>
    <n v="10.5"/>
    <n v="4"/>
    <n v="59.5"/>
    <s v="Charmaine Lane"/>
    <s v="Internal Ad Sales"/>
    <s v="Calendar"/>
    <s v="Agency"/>
    <s v="Y"/>
    <s v="2559"/>
    <s v="SFO"/>
  </r>
  <r>
    <s v="Admerasia Inc.:McDonald's"/>
    <d v="2026-03-21T00:00:00"/>
    <d v="2026-03-21T00:00:00"/>
    <s v="Saturday"/>
    <d v="1899-12-30T11:00:00"/>
    <d v="1899-12-30T12:00:00"/>
    <d v="1899-12-30T00:00:15"/>
    <s v="MD15V377: ACM Name VIE (MCIV006526VH)"/>
    <s v="11:18:00"/>
    <s v="V"/>
    <m/>
    <n v="1"/>
    <n v="72870"/>
    <s v="COM"/>
    <s v="6SF 2603"/>
    <n v="70"/>
    <m/>
    <n v="70"/>
    <x v="17"/>
    <n v="10.5"/>
    <n v="4"/>
    <n v="59.5"/>
    <s v="Charmaine Lane"/>
    <s v="Internal Ad Sales"/>
    <s v="Calendar"/>
    <s v="Agency"/>
    <s v="Y"/>
    <s v="2559"/>
    <s v="SFO"/>
  </r>
  <r>
    <s v="Admerasia Inc.:McDonald's"/>
    <d v="2026-03-15T00:00:00"/>
    <d v="2026-03-15T00:00:00"/>
    <s v="Sunday"/>
    <d v="1899-12-30T11:00:00"/>
    <d v="1899-12-30T12:00:00"/>
    <d v="1899-12-30T00:00:15"/>
    <s v="MD15V376: ACM Yes VIE (MCIV005526VH)"/>
    <s v="11:28:00"/>
    <s v="V"/>
    <m/>
    <n v="1"/>
    <n v="72870"/>
    <s v="COM"/>
    <s v="6SF 2603"/>
    <n v="70"/>
    <m/>
    <n v="70"/>
    <x v="16"/>
    <n v="10.5"/>
    <n v="4"/>
    <n v="59.5"/>
    <s v="Charmaine Lane"/>
    <s v="Internal Ad Sales"/>
    <s v="Calendar"/>
    <s v="Agency"/>
    <s v="Y"/>
    <s v="2559"/>
    <s v="SFO"/>
  </r>
  <r>
    <s v="Admerasia Inc.:McDonald's"/>
    <d v="2026-03-21T00:00:00"/>
    <d v="2026-03-21T00:00:00"/>
    <s v="Saturday"/>
    <d v="1899-12-30T11:00:00"/>
    <d v="1899-12-30T12:00:00"/>
    <d v="1899-12-30T00:00:15"/>
    <s v="MD15V377: ACM Name VIE (MCIV006526VH)"/>
    <s v="11:28:00"/>
    <s v="V"/>
    <m/>
    <n v="1"/>
    <n v="72870"/>
    <s v="COM"/>
    <s v="6SF 2603"/>
    <n v="70"/>
    <m/>
    <n v="70"/>
    <x v="17"/>
    <n v="10.5"/>
    <n v="4"/>
    <n v="59.5"/>
    <s v="Charmaine Lane"/>
    <s v="Internal Ad Sales"/>
    <s v="Calendar"/>
    <s v="Agency"/>
    <s v="Y"/>
    <s v="2559"/>
    <s v="SFO"/>
  </r>
  <r>
    <s v="Admerasia Inc.:McDonald's"/>
    <d v="2026-03-29T00:00:00"/>
    <d v="2026-03-29T00:00:00"/>
    <s v="Sunday"/>
    <d v="1899-12-30T11:00:00"/>
    <d v="1899-12-30T12:00:00"/>
    <d v="1899-12-30T00:00:15"/>
    <s v="MD15V376: ACM Yes VIE (MCIV005526VH)"/>
    <s v="11:35:00"/>
    <s v="V"/>
    <m/>
    <n v="1"/>
    <n v="72870"/>
    <s v="COM"/>
    <s v="6SF 2603"/>
    <n v="70"/>
    <m/>
    <n v="70"/>
    <x v="18"/>
    <n v="10.5"/>
    <n v="4"/>
    <n v="59.5"/>
    <s v="Charmaine Lane"/>
    <s v="Internal Ad Sales"/>
    <s v="Calendar"/>
    <s v="Agency"/>
    <s v="Y"/>
    <s v="2559"/>
    <s v="SFO"/>
  </r>
  <r>
    <s v="Admerasia Inc.:McDonald's"/>
    <d v="2026-03-22T00:00:00"/>
    <d v="2026-03-22T00:00:00"/>
    <s v="Sunday"/>
    <d v="1899-12-30T11:00:00"/>
    <d v="1899-12-30T12:00:00"/>
    <d v="1899-12-30T00:00:15"/>
    <s v="MD15V377: ACM Name VIE (MCIV006526VH)"/>
    <s v="11:44:00"/>
    <s v="V"/>
    <m/>
    <n v="1"/>
    <n v="72870"/>
    <s v="COM"/>
    <s v="6SF 2603"/>
    <n v="70"/>
    <m/>
    <n v="70"/>
    <x v="19"/>
    <n v="10.5"/>
    <n v="4"/>
    <n v="59.5"/>
    <s v="Charmaine Lane"/>
    <s v="Internal Ad Sales"/>
    <s v="Calendar"/>
    <s v="Agency"/>
    <s v="Y"/>
    <s v="2559"/>
    <s v="SFO"/>
  </r>
  <r>
    <s v="Admerasia Inc.:McDonald's"/>
    <d v="2026-03-28T00:00:00"/>
    <d v="2026-03-28T00:00:00"/>
    <s v="Saturday"/>
    <d v="1899-12-30T11:00:00"/>
    <d v="1899-12-30T12:00:00"/>
    <d v="1899-12-30T00:00:15"/>
    <s v="MD15V376: ACM Yes VIE (MCIV005526VH)"/>
    <s v="11:44:00"/>
    <s v="V"/>
    <m/>
    <n v="1"/>
    <n v="72870"/>
    <s v="COM"/>
    <s v="6SF 2603"/>
    <n v="70"/>
    <m/>
    <n v="70"/>
    <x v="20"/>
    <n v="10.5"/>
    <n v="4"/>
    <n v="59.5"/>
    <s v="Charmaine Lane"/>
    <s v="Internal Ad Sales"/>
    <s v="Calendar"/>
    <s v="Agency"/>
    <s v="Y"/>
    <s v="2559"/>
    <s v="SFO"/>
  </r>
  <r>
    <s v="Admerasia Inc.:McDonald's"/>
    <d v="2026-03-14T00:00:00"/>
    <d v="2026-03-14T00:00:00"/>
    <s v="Saturday"/>
    <d v="1899-12-30T11:00:00"/>
    <d v="1899-12-30T12:00:00"/>
    <d v="1899-12-30T00:00:15"/>
    <s v="MD15V376: ACM Yes VIE (MCIV005526VH)"/>
    <s v="11:50:00"/>
    <s v="V"/>
    <m/>
    <n v="1"/>
    <n v="72870"/>
    <s v="COM"/>
    <s v="6SF 2603"/>
    <n v="70"/>
    <m/>
    <n v="70"/>
    <x v="15"/>
    <n v="10.5"/>
    <n v="4"/>
    <n v="59.5"/>
    <s v="Charmaine Lane"/>
    <s v="Internal Ad Sales"/>
    <s v="Calendar"/>
    <s v="Agency"/>
    <s v="Y"/>
    <s v="2559"/>
    <s v="SFO"/>
  </r>
  <r>
    <s v="Admerasia Inc.:McDonald's"/>
    <d v="2026-03-22T00:00:00"/>
    <d v="2026-03-22T00:00:00"/>
    <s v="Sunday"/>
    <d v="1899-12-30T11:00:00"/>
    <d v="1899-12-30T12:00:00"/>
    <d v="1899-12-30T00:00:15"/>
    <s v="MD15V377: ACM Name VIE (MCIV006526VH)"/>
    <s v="11:50:00"/>
    <s v="V"/>
    <m/>
    <n v="1"/>
    <n v="72870"/>
    <s v="COM"/>
    <s v="6SF 2603"/>
    <n v="70"/>
    <m/>
    <n v="70"/>
    <x v="19"/>
    <n v="10.5"/>
    <n v="4"/>
    <n v="59.5"/>
    <s v="Charmaine Lane"/>
    <s v="Internal Ad Sales"/>
    <s v="Calendar"/>
    <s v="Agency"/>
    <s v="Y"/>
    <s v="2559"/>
    <s v="SFO"/>
  </r>
  <r>
    <s v="Admerasia Inc.:McDonald's"/>
    <d v="2026-03-28T00:00:00"/>
    <d v="2026-03-28T00:00:00"/>
    <s v="Saturday"/>
    <d v="1899-12-30T11:00:00"/>
    <d v="1899-12-30T12:00:00"/>
    <d v="1899-12-30T00:00:15"/>
    <s v="MD15V376: ACM Yes VIE (MCIV005526VH)"/>
    <s v="11:57:30"/>
    <s v="V"/>
    <m/>
    <n v="1"/>
    <n v="72870"/>
    <s v="COM"/>
    <s v="6SF 2603"/>
    <n v="70"/>
    <m/>
    <n v="70"/>
    <x v="20"/>
    <n v="10.5"/>
    <n v="4"/>
    <n v="59.5"/>
    <s v="Charmaine Lane"/>
    <s v="Internal Ad Sales"/>
    <s v="Calendar"/>
    <s v="Agency"/>
    <s v="Y"/>
    <s v="2559"/>
    <s v="SFO"/>
  </r>
  <r>
    <s v="Admerasia Inc.:McDonald's"/>
    <d v="2026-03-29T00:00:00"/>
    <d v="2026-03-29T00:00:00"/>
    <s v="Sunday"/>
    <d v="1899-12-30T11:00:00"/>
    <d v="1899-12-30T12:00:00"/>
    <d v="1899-12-30T00:00:15"/>
    <s v="MD15V376: ACM Yes VIE (MCIV005526VH)"/>
    <s v="11:59:00"/>
    <s v="V"/>
    <m/>
    <n v="1"/>
    <n v="72870"/>
    <s v="COM"/>
    <s v="6SF 2603"/>
    <n v="70"/>
    <m/>
    <n v="70"/>
    <x v="18"/>
    <n v="10.5"/>
    <n v="4"/>
    <n v="59.5"/>
    <s v="Charmaine Lane"/>
    <s v="Internal Ad Sales"/>
    <s v="Calendar"/>
    <s v="Agency"/>
    <s v="Y"/>
    <s v="2559"/>
    <s v="SFO"/>
  </r>
  <r>
    <s v="Admerasia Inc.:McDonald's"/>
    <d v="2026-03-11T00:00:00"/>
    <d v="2026-03-11T00:00:00"/>
    <s v="Wednesday"/>
    <d v="1899-12-30T12:00:00"/>
    <d v="1899-12-30T13:00:00"/>
    <d v="1899-12-30T00:00:15"/>
    <s v="MD15V377: ACM Name VIE (MCIV006526VH)"/>
    <s v="12:07:00"/>
    <s v="V"/>
    <m/>
    <n v="1"/>
    <n v="72871"/>
    <s v="COM"/>
    <s v="6SF 2603"/>
    <n v="70"/>
    <m/>
    <n v="70"/>
    <x v="5"/>
    <n v="10.5"/>
    <n v="4"/>
    <n v="59.5"/>
    <s v="Charmaine Lane"/>
    <s v="Internal Ad Sales"/>
    <s v="Calendar"/>
    <s v="Agency"/>
    <s v="Y"/>
    <s v="2559"/>
    <s v="SFO"/>
  </r>
  <r>
    <s v="Admerasia Inc.:McDonald's"/>
    <d v="2026-03-12T00:00:00"/>
    <d v="2026-03-12T00:00:00"/>
    <s v="Thursday"/>
    <d v="1899-12-30T12:00:00"/>
    <d v="1899-12-30T13:00:00"/>
    <d v="1899-12-30T00:00:15"/>
    <s v="MD15V377: ACM Name VIE (MCIV006526VH)"/>
    <s v="12:18:00"/>
    <s v="V"/>
    <m/>
    <n v="1"/>
    <n v="72871"/>
    <s v="COM"/>
    <s v="6SF 2603"/>
    <n v="70"/>
    <m/>
    <n v="70"/>
    <x v="6"/>
    <n v="10.5"/>
    <n v="4"/>
    <n v="59.5"/>
    <s v="Charmaine Lane"/>
    <s v="Internal Ad Sales"/>
    <s v="Calendar"/>
    <s v="Agency"/>
    <s v="Y"/>
    <s v="2559"/>
    <s v="SFO"/>
  </r>
  <r>
    <s v="Admerasia Inc.:McDonald's"/>
    <d v="2026-03-13T00:00:00"/>
    <d v="2026-03-13T00:00:00"/>
    <s v="Friday"/>
    <d v="1899-12-30T12:00:00"/>
    <d v="1899-12-30T13:00:00"/>
    <d v="1899-12-30T00:00:15"/>
    <s v="MD15V377: ACM Name VIE (MCIV006526VH)"/>
    <s v="12:18:00"/>
    <s v="V"/>
    <m/>
    <n v="1"/>
    <n v="72871"/>
    <s v="COM"/>
    <s v="6SF 2603"/>
    <n v="70"/>
    <m/>
    <n v="70"/>
    <x v="1"/>
    <n v="10.5"/>
    <n v="4"/>
    <n v="59.5"/>
    <s v="Charmaine Lane"/>
    <s v="Internal Ad Sales"/>
    <s v="Calendar"/>
    <s v="Agency"/>
    <s v="Y"/>
    <s v="2559"/>
    <s v="SFO"/>
  </r>
  <r>
    <s v="Admerasia Inc.:McDonald's"/>
    <d v="2026-03-11T00:00:00"/>
    <d v="2026-03-11T00:00:00"/>
    <s v="Wednesday"/>
    <d v="1899-12-30T12:00:00"/>
    <d v="1899-12-30T13:00:00"/>
    <d v="1899-12-30T00:00:15"/>
    <s v="MD15V377: ACM Name VIE (MCIV006526VH)"/>
    <s v="12:29:00"/>
    <s v="V"/>
    <m/>
    <n v="1"/>
    <n v="72871"/>
    <s v="COM"/>
    <s v="6SF 2603"/>
    <n v="70"/>
    <m/>
    <n v="70"/>
    <x v="5"/>
    <n v="10.5"/>
    <n v="4"/>
    <n v="59.5"/>
    <s v="Charmaine Lane"/>
    <s v="Internal Ad Sales"/>
    <s v="Calendar"/>
    <s v="Agency"/>
    <s v="Y"/>
    <s v="2559"/>
    <s v="SFO"/>
  </r>
  <r>
    <s v="Admerasia Inc.:McDonald's"/>
    <d v="2026-03-12T00:00:00"/>
    <d v="2026-03-12T00:00:00"/>
    <s v="Thursday"/>
    <d v="1899-12-30T12:00:00"/>
    <d v="1899-12-30T13:00:00"/>
    <d v="1899-12-30T00:00:15"/>
    <s v="MD15V377: ACM Name VIE (MCIV006526VH)"/>
    <s v="12:38:00"/>
    <s v="V"/>
    <m/>
    <n v="1"/>
    <n v="72871"/>
    <s v="COM"/>
    <s v="6SF 2603"/>
    <n v="70"/>
    <m/>
    <n v="70"/>
    <x v="6"/>
    <n v="10.5"/>
    <n v="4"/>
    <n v="59.5"/>
    <s v="Charmaine Lane"/>
    <s v="Internal Ad Sales"/>
    <s v="Calendar"/>
    <s v="Agency"/>
    <s v="Y"/>
    <s v="2559"/>
    <s v="SFO"/>
  </r>
  <r>
    <s v="Admerasia Inc.:McDonald's"/>
    <d v="2026-03-13T00:00:00"/>
    <d v="2026-03-13T00:00:00"/>
    <s v="Friday"/>
    <d v="1899-12-30T12:00:00"/>
    <d v="1899-12-30T13:00:00"/>
    <d v="1899-12-30T00:00:15"/>
    <s v="MD15V377: ACM Name VIE (MCIV006526VH)"/>
    <s v="12:38:00"/>
    <s v="V"/>
    <m/>
    <n v="1"/>
    <n v="72871"/>
    <s v="COM"/>
    <s v="6SF 2603"/>
    <n v="70"/>
    <m/>
    <n v="70"/>
    <x v="1"/>
    <n v="10.5"/>
    <n v="4"/>
    <n v="59.5"/>
    <s v="Charmaine Lane"/>
    <s v="Internal Ad Sales"/>
    <s v="Calendar"/>
    <s v="Agency"/>
    <s v="Y"/>
    <s v="2559"/>
    <s v="SFO"/>
  </r>
  <r>
    <s v="Admerasia Inc.:McDonald's"/>
    <d v="2026-03-09T00:00:00"/>
    <d v="2026-03-09T00:00:00"/>
    <s v="Monday"/>
    <d v="1899-12-30T12:00:00"/>
    <d v="1899-12-30T13:00:00"/>
    <d v="1899-12-30T00:00:15"/>
    <s v="MD15V377: ACM Name VIE (MCIV006526VH)"/>
    <s v="12:48:00"/>
    <s v="V"/>
    <m/>
    <n v="1"/>
    <n v="72871"/>
    <s v="COM"/>
    <s v="6SF 2603"/>
    <n v="70"/>
    <m/>
    <n v="70"/>
    <x v="10"/>
    <n v="10.5"/>
    <n v="4"/>
    <n v="59.5"/>
    <s v="Charmaine Lane"/>
    <s v="Internal Ad Sales"/>
    <s v="Calendar"/>
    <s v="Agency"/>
    <s v="Y"/>
    <s v="2559"/>
    <s v="SFO"/>
  </r>
  <r>
    <s v="Admerasia Inc.:McDonald's"/>
    <d v="2026-03-09T00:00:00"/>
    <d v="2026-03-09T00:00:00"/>
    <s v="Monday"/>
    <d v="1899-12-30T12:00:00"/>
    <d v="1899-12-30T13:00:00"/>
    <d v="1899-12-30T00:00:15"/>
    <s v="MD15V377: ACM Name VIE (MCIV006526VH)"/>
    <s v="12:59:00"/>
    <s v="V"/>
    <m/>
    <n v="1"/>
    <n v="72871"/>
    <s v="COM"/>
    <s v="6SF 2603"/>
    <n v="70"/>
    <m/>
    <n v="70"/>
    <x v="10"/>
    <n v="10.5"/>
    <n v="4"/>
    <n v="59.5"/>
    <s v="Charmaine Lane"/>
    <s v="Internal Ad Sales"/>
    <s v="Calendar"/>
    <s v="Agency"/>
    <s v="Y"/>
    <s v="2559"/>
    <s v="SFO"/>
  </r>
  <r>
    <s v="Admerasia Inc.:McDonald's"/>
    <d v="2026-03-10T00:00:00"/>
    <d v="2026-03-10T00:00:00"/>
    <s v="Tuesday"/>
    <d v="1899-12-30T12:00:00"/>
    <d v="1899-12-30T13:00:00"/>
    <d v="1899-12-30T00:00:15"/>
    <s v="MD15V377: ACM Name VIE (MCIV006526VH)"/>
    <s v="12:38:00"/>
    <s v="V"/>
    <m/>
    <n v="1"/>
    <n v="72872"/>
    <s v="COM"/>
    <s v="6SF 2603"/>
    <n v="70"/>
    <m/>
    <n v="70"/>
    <x v="0"/>
    <n v="10.5"/>
    <n v="4"/>
    <n v="59.5"/>
    <s v="Charmaine Lane"/>
    <s v="Internal Ad Sales"/>
    <s v="Calendar"/>
    <s v="Agency"/>
    <s v="Y"/>
    <s v="2559"/>
    <s v="SFO"/>
  </r>
  <r>
    <s v="Admerasia Inc.:McDonald's"/>
    <d v="2026-03-16T00:00:00"/>
    <d v="2026-03-16T00:00:00"/>
    <s v="Monday"/>
    <d v="1899-12-30T12:00:00"/>
    <d v="1899-12-30T13:00:00"/>
    <d v="1899-12-30T00:00:15"/>
    <s v="MD15V376: ACM Yes VIE (MCIV005526VH)"/>
    <s v="12:07:00"/>
    <s v="V"/>
    <m/>
    <n v="1"/>
    <n v="72873"/>
    <s v="COM"/>
    <s v="6SF 2603"/>
    <n v="70"/>
    <m/>
    <n v="70"/>
    <x v="2"/>
    <n v="10.5"/>
    <n v="4"/>
    <n v="59.5"/>
    <s v="Charmaine Lane"/>
    <s v="Internal Ad Sales"/>
    <s v="Calendar"/>
    <s v="Agency"/>
    <s v="Y"/>
    <s v="2559"/>
    <s v="SFO"/>
  </r>
  <r>
    <s v="Admerasia Inc.:McDonald's"/>
    <d v="2026-03-20T00:00:00"/>
    <d v="2026-03-20T00:00:00"/>
    <s v="Friday"/>
    <d v="1899-12-30T12:00:00"/>
    <d v="1899-12-30T13:00:00"/>
    <d v="1899-12-30T00:00:15"/>
    <s v="MD15V376: ACM Yes VIE (MCIV005526VH)"/>
    <s v="12:07:00"/>
    <s v="V"/>
    <m/>
    <n v="1"/>
    <n v="72873"/>
    <s v="COM"/>
    <s v="6SF 2603"/>
    <n v="70"/>
    <m/>
    <n v="70"/>
    <x v="12"/>
    <n v="10.5"/>
    <n v="4"/>
    <n v="59.5"/>
    <s v="Charmaine Lane"/>
    <s v="Internal Ad Sales"/>
    <s v="Calendar"/>
    <s v="Agency"/>
    <s v="Y"/>
    <s v="2559"/>
    <s v="SFO"/>
  </r>
  <r>
    <s v="Admerasia Inc.:McDonald's"/>
    <d v="2026-03-19T00:00:00"/>
    <d v="2026-03-19T00:00:00"/>
    <s v="Thursday"/>
    <d v="1899-12-30T12:00:00"/>
    <d v="1899-12-30T13:00:00"/>
    <d v="1899-12-30T00:00:15"/>
    <s v="MD15V376: ACM Yes VIE (MCIV005526VH)"/>
    <s v="12:18:00"/>
    <s v="V"/>
    <m/>
    <n v="1"/>
    <n v="72873"/>
    <s v="COM"/>
    <s v="6SF 2603"/>
    <n v="70"/>
    <m/>
    <n v="70"/>
    <x v="7"/>
    <n v="10.5"/>
    <n v="4"/>
    <n v="59.5"/>
    <s v="Charmaine Lane"/>
    <s v="Internal Ad Sales"/>
    <s v="Calendar"/>
    <s v="Agency"/>
    <s v="Y"/>
    <s v="2559"/>
    <s v="SFO"/>
  </r>
  <r>
    <s v="Admerasia Inc.:McDonald's"/>
    <d v="2026-03-16T00:00:00"/>
    <d v="2026-03-16T00:00:00"/>
    <s v="Monday"/>
    <d v="1899-12-30T12:00:00"/>
    <d v="1899-12-30T13:00:00"/>
    <d v="1899-12-30T00:00:15"/>
    <s v="MD15V376: ACM Yes VIE (MCIV005526VH)"/>
    <s v="12:29:00"/>
    <s v="V"/>
    <m/>
    <n v="1"/>
    <n v="72873"/>
    <s v="COM"/>
    <s v="6SF 2603"/>
    <n v="70"/>
    <m/>
    <n v="70"/>
    <x v="2"/>
    <n v="10.5"/>
    <n v="4"/>
    <n v="59.5"/>
    <s v="Charmaine Lane"/>
    <s v="Internal Ad Sales"/>
    <s v="Calendar"/>
    <s v="Agency"/>
    <s v="Y"/>
    <s v="2559"/>
    <s v="SFO"/>
  </r>
  <r>
    <s v="Admerasia Inc.:McDonald's"/>
    <d v="2026-03-20T00:00:00"/>
    <d v="2026-03-20T00:00:00"/>
    <s v="Friday"/>
    <d v="1899-12-30T12:00:00"/>
    <d v="1899-12-30T13:00:00"/>
    <d v="1899-12-30T00:00:15"/>
    <s v="MD15V376: ACM Yes VIE (MCIV005526VH)"/>
    <s v="12:29:00"/>
    <s v="V"/>
    <m/>
    <n v="1"/>
    <n v="72873"/>
    <s v="COM"/>
    <s v="6SF 2603"/>
    <n v="70"/>
    <m/>
    <n v="70"/>
    <x v="12"/>
    <n v="10.5"/>
    <n v="4"/>
    <n v="59.5"/>
    <s v="Charmaine Lane"/>
    <s v="Internal Ad Sales"/>
    <s v="Calendar"/>
    <s v="Agency"/>
    <s v="Y"/>
    <s v="2559"/>
    <s v="SFO"/>
  </r>
  <r>
    <s v="Admerasia Inc.:McDonald's"/>
    <d v="2026-03-17T00:00:00"/>
    <d v="2026-03-17T00:00:00"/>
    <s v="Tuesday"/>
    <d v="1899-12-30T12:00:00"/>
    <d v="1899-12-30T13:00:00"/>
    <d v="1899-12-30T00:00:15"/>
    <s v="MD15V376: ACM Yes VIE (MCIV005526VH)"/>
    <s v="12:38:00"/>
    <s v="V"/>
    <m/>
    <n v="1"/>
    <n v="72873"/>
    <s v="COM"/>
    <s v="6SF 2603"/>
    <n v="70"/>
    <m/>
    <n v="70"/>
    <x v="11"/>
    <n v="10.5"/>
    <n v="4"/>
    <n v="59.5"/>
    <s v="Charmaine Lane"/>
    <s v="Internal Ad Sales"/>
    <s v="Calendar"/>
    <s v="Agency"/>
    <s v="Y"/>
    <s v="2559"/>
    <s v="SFO"/>
  </r>
  <r>
    <s v="Admerasia Inc.:McDonald's"/>
    <d v="2026-03-19T00:00:00"/>
    <d v="2026-03-19T00:00:00"/>
    <s v="Thursday"/>
    <d v="1899-12-30T12:00:00"/>
    <d v="1899-12-30T13:00:00"/>
    <d v="1899-12-30T00:00:15"/>
    <s v="MD15V376: ACM Yes VIE (MCIV005526VH)"/>
    <s v="12:48:00"/>
    <s v="V"/>
    <m/>
    <n v="1"/>
    <n v="72873"/>
    <s v="COM"/>
    <s v="6SF 2603"/>
    <n v="70"/>
    <m/>
    <n v="70"/>
    <x v="7"/>
    <n v="10.5"/>
    <n v="4"/>
    <n v="59.5"/>
    <s v="Charmaine Lane"/>
    <s v="Internal Ad Sales"/>
    <s v="Calendar"/>
    <s v="Agency"/>
    <s v="Y"/>
    <s v="2559"/>
    <s v="SFO"/>
  </r>
  <r>
    <s v="Admerasia Inc.:McDonald's"/>
    <d v="2026-03-17T00:00:00"/>
    <d v="2026-03-17T00:00:00"/>
    <s v="Tuesday"/>
    <d v="1899-12-30T12:00:00"/>
    <d v="1899-12-30T13:00:00"/>
    <d v="1899-12-30T00:00:15"/>
    <s v="MD15V376: ACM Yes VIE (MCIV005526VH)"/>
    <s v="12:59:00"/>
    <s v="V"/>
    <m/>
    <n v="1"/>
    <n v="72873"/>
    <s v="COM"/>
    <s v="6SF 2603"/>
    <n v="70"/>
    <m/>
    <n v="70"/>
    <x v="11"/>
    <n v="10.5"/>
    <n v="4"/>
    <n v="59.5"/>
    <s v="Charmaine Lane"/>
    <s v="Internal Ad Sales"/>
    <s v="Calendar"/>
    <s v="Agency"/>
    <s v="Y"/>
    <s v="2559"/>
    <s v="SFO"/>
  </r>
  <r>
    <s v="Admerasia Inc.:McDonald's"/>
    <d v="2026-03-18T00:00:00"/>
    <d v="2026-03-18T00:00:00"/>
    <s v="Wednesday"/>
    <d v="1899-12-30T12:00:00"/>
    <d v="1899-12-30T13:00:00"/>
    <d v="1899-12-30T00:00:15"/>
    <s v="MD15V376: ACM Yes VIE (MCIV005526VH)"/>
    <s v="12:59:00"/>
    <s v="V"/>
    <m/>
    <n v="1"/>
    <n v="72874"/>
    <s v="COM"/>
    <s v="6SF 2603"/>
    <n v="70"/>
    <m/>
    <n v="70"/>
    <x v="3"/>
    <n v="10.5"/>
    <n v="4"/>
    <n v="59.5"/>
    <s v="Charmaine Lane"/>
    <s v="Internal Ad Sales"/>
    <s v="Calendar"/>
    <s v="Agency"/>
    <s v="Y"/>
    <s v="2559"/>
    <s v="SFO"/>
  </r>
  <r>
    <s v="Admerasia Inc.:McDonald's"/>
    <d v="2026-03-24T00:00:00"/>
    <d v="2026-03-24T00:00:00"/>
    <s v="Tuesday"/>
    <d v="1899-12-30T12:00:00"/>
    <d v="1899-12-30T13:00:00"/>
    <d v="1899-12-30T00:00:15"/>
    <s v="MD15V377: ACM Name VIE (MCIV006526VH)"/>
    <s v="12:07:00"/>
    <s v="V"/>
    <m/>
    <n v="1"/>
    <n v="72875"/>
    <s v="COM"/>
    <s v="6SF 2603"/>
    <n v="70"/>
    <m/>
    <n v="70"/>
    <x v="13"/>
    <n v="10.5"/>
    <n v="4"/>
    <n v="59.5"/>
    <s v="Charmaine Lane"/>
    <s v="Internal Ad Sales"/>
    <s v="Calendar"/>
    <s v="Agency"/>
    <s v="Y"/>
    <s v="2559"/>
    <s v="SFO"/>
  </r>
  <r>
    <s v="Admerasia Inc.:McDonald's"/>
    <d v="2026-03-25T00:00:00"/>
    <d v="2026-03-25T00:00:00"/>
    <s v="Wednesday"/>
    <d v="1899-12-30T12:00:00"/>
    <d v="1899-12-30T13:00:00"/>
    <d v="1899-12-30T00:00:15"/>
    <s v="MD15V377: ACM Name VIE (MCIV006526VH)"/>
    <s v="12:18:00"/>
    <s v="V"/>
    <m/>
    <n v="1"/>
    <n v="72875"/>
    <s v="COM"/>
    <s v="6SF 2603"/>
    <n v="70"/>
    <m/>
    <n v="70"/>
    <x v="4"/>
    <n v="10.5"/>
    <n v="4"/>
    <n v="59.5"/>
    <s v="Charmaine Lane"/>
    <s v="Internal Ad Sales"/>
    <s v="Calendar"/>
    <s v="Agency"/>
    <s v="Y"/>
    <s v="2559"/>
    <s v="SFO"/>
  </r>
  <r>
    <s v="Admerasia Inc.:McDonald's"/>
    <d v="2026-03-23T00:00:00"/>
    <d v="2026-03-23T00:00:00"/>
    <s v="Monday"/>
    <d v="1899-12-30T12:00:00"/>
    <d v="1899-12-30T13:00:00"/>
    <d v="1899-12-30T00:00:15"/>
    <s v="MD15V376: ACM Yes VIE (MCIV005526VH)"/>
    <s v="12:29:00"/>
    <s v="V"/>
    <m/>
    <n v="1"/>
    <n v="72875"/>
    <s v="COM"/>
    <s v="6SF 2603"/>
    <n v="70"/>
    <m/>
    <n v="70"/>
    <x v="8"/>
    <n v="10.5"/>
    <n v="4"/>
    <n v="59.5"/>
    <s v="Charmaine Lane"/>
    <s v="Internal Ad Sales"/>
    <s v="Calendar"/>
    <s v="Agency"/>
    <s v="Y"/>
    <s v="2559"/>
    <s v="SFO"/>
  </r>
  <r>
    <s v="Admerasia Inc.:McDonald's"/>
    <d v="2026-03-26T00:00:00"/>
    <d v="2026-03-26T00:00:00"/>
    <s v="Thursday"/>
    <d v="1899-12-30T12:00:00"/>
    <d v="1899-12-30T13:00:00"/>
    <d v="1899-12-30T00:00:15"/>
    <s v="MD15V377: ACM Name VIE (MCIV006526VH)"/>
    <s v="12:29:00"/>
    <s v="V"/>
    <m/>
    <n v="1"/>
    <n v="72875"/>
    <s v="COM"/>
    <s v="6SF 2603"/>
    <n v="70"/>
    <m/>
    <n v="70"/>
    <x v="14"/>
    <n v="10.5"/>
    <n v="4"/>
    <n v="59.5"/>
    <s v="Charmaine Lane"/>
    <s v="Internal Ad Sales"/>
    <s v="Calendar"/>
    <s v="Agency"/>
    <s v="Y"/>
    <s v="2559"/>
    <s v="SFO"/>
  </r>
  <r>
    <s v="Admerasia Inc.:McDonald's"/>
    <d v="2026-03-23T00:00:00"/>
    <d v="2026-03-23T00:00:00"/>
    <s v="Monday"/>
    <d v="1899-12-30T12:00:00"/>
    <d v="1899-12-30T13:00:00"/>
    <d v="1899-12-30T00:00:15"/>
    <s v="MD15V376: ACM Yes VIE (MCIV005526VH)"/>
    <s v="12:38:00"/>
    <s v="V"/>
    <m/>
    <n v="1"/>
    <n v="72875"/>
    <s v="COM"/>
    <s v="6SF 2603"/>
    <n v="70"/>
    <m/>
    <n v="70"/>
    <x v="8"/>
    <n v="10.5"/>
    <n v="4"/>
    <n v="59.5"/>
    <s v="Charmaine Lane"/>
    <s v="Internal Ad Sales"/>
    <s v="Calendar"/>
    <s v="Agency"/>
    <s v="Y"/>
    <s v="2559"/>
    <s v="SFO"/>
  </r>
  <r>
    <s v="Admerasia Inc.:McDonald's"/>
    <d v="2026-03-26T00:00:00"/>
    <d v="2026-03-26T00:00:00"/>
    <s v="Thursday"/>
    <d v="1899-12-30T12:00:00"/>
    <d v="1899-12-30T13:00:00"/>
    <d v="1899-12-30T00:00:15"/>
    <s v="MD15V377: ACM Name VIE (MCIV006526VH)"/>
    <s v="12:38:00"/>
    <s v="V"/>
    <m/>
    <n v="1"/>
    <n v="72875"/>
    <s v="COM"/>
    <s v="6SF 2603"/>
    <n v="70"/>
    <m/>
    <n v="70"/>
    <x v="14"/>
    <n v="10.5"/>
    <n v="4"/>
    <n v="59.5"/>
    <s v="Charmaine Lane"/>
    <s v="Internal Ad Sales"/>
    <s v="Calendar"/>
    <s v="Agency"/>
    <s v="Y"/>
    <s v="2559"/>
    <s v="SFO"/>
  </r>
  <r>
    <s v="Admerasia Inc.:McDonald's"/>
    <d v="2026-03-25T00:00:00"/>
    <d v="2026-03-25T00:00:00"/>
    <s v="Wednesday"/>
    <d v="1899-12-30T12:00:00"/>
    <d v="1899-12-30T13:00:00"/>
    <d v="1899-12-30T00:00:15"/>
    <s v="MD15V377: ACM Name VIE (MCIV006526VH)"/>
    <s v="12:48:00"/>
    <s v="V"/>
    <m/>
    <n v="1"/>
    <n v="72875"/>
    <s v="COM"/>
    <s v="6SF 2603"/>
    <n v="70"/>
    <m/>
    <n v="70"/>
    <x v="4"/>
    <n v="10.5"/>
    <n v="4"/>
    <n v="59.5"/>
    <s v="Charmaine Lane"/>
    <s v="Internal Ad Sales"/>
    <s v="Calendar"/>
    <s v="Agency"/>
    <s v="Y"/>
    <s v="2559"/>
    <s v="SFO"/>
  </r>
  <r>
    <s v="Admerasia Inc.:McDonald's"/>
    <d v="2026-03-24T00:00:00"/>
    <d v="2026-03-24T00:00:00"/>
    <s v="Tuesday"/>
    <d v="1899-12-30T12:00:00"/>
    <d v="1899-12-30T13:00:00"/>
    <d v="1899-12-30T00:00:15"/>
    <s v="MD15V377: ACM Name VIE (MCIV006526VH)"/>
    <s v="12:59:00"/>
    <s v="V"/>
    <m/>
    <n v="1"/>
    <n v="72875"/>
    <s v="COM"/>
    <s v="6SF 2603"/>
    <n v="70"/>
    <m/>
    <n v="70"/>
    <x v="13"/>
    <n v="10.5"/>
    <n v="4"/>
    <n v="59.5"/>
    <s v="Charmaine Lane"/>
    <s v="Internal Ad Sales"/>
    <s v="Calendar"/>
    <s v="Agency"/>
    <s v="Y"/>
    <s v="2559"/>
    <s v="SFO"/>
  </r>
  <r>
    <s v="Admerasia Inc.:McDonald's"/>
    <d v="2026-03-27T00:00:00"/>
    <d v="2026-03-27T00:00:00"/>
    <s v="Friday"/>
    <d v="1899-12-30T12:00:00"/>
    <d v="1899-12-30T13:00:00"/>
    <d v="1899-12-30T00:00:15"/>
    <s v="MD15V377: ACM Name VIE (MCIV006526VH)"/>
    <s v="12:48:00"/>
    <s v="V"/>
    <m/>
    <n v="1"/>
    <n v="72876"/>
    <s v="COM"/>
    <s v="6SF 2603"/>
    <n v="70"/>
    <m/>
    <n v="70"/>
    <x v="9"/>
    <n v="10.5"/>
    <n v="4"/>
    <n v="59.5"/>
    <s v="Charmaine Lane"/>
    <s v="Internal Ad Sales"/>
    <s v="Calendar"/>
    <s v="Agency"/>
    <s v="Y"/>
    <s v="2559"/>
    <s v="SFO"/>
  </r>
  <r>
    <m/>
    <m/>
    <m/>
    <m/>
    <m/>
    <m/>
    <m/>
    <m/>
    <m/>
    <m/>
    <m/>
    <m/>
    <m/>
    <m/>
    <m/>
    <m/>
    <m/>
    <m/>
    <x v="2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3:C6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 v="2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ate" fld="15" baseField="0" baseItem="0"/>
    <dataField name="Sum of Station Net" fld="21" baseField="0" baseItem="0"/>
  </dataFields>
  <formats count="1">
    <format dxfId="0">
      <pivotArea collapsedLevelsAreSubtotals="1" fieldPosition="0">
        <references count="1">
          <reference field="1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drewh@admerasia.com" TargetMode="External"/><Relationship Id="rId1" Type="http://schemas.openxmlformats.org/officeDocument/2006/relationships/externalLinkPath" Target="file:///B:\Accounting\Billing\2010\98B374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0">
    <pageSetUpPr fitToPage="1"/>
  </sheetPr>
  <dimension ref="A1:AJ31"/>
  <sheetViews>
    <sheetView tabSelected="1" topLeftCell="B1" workbookViewId="0">
      <selection activeCell="H30" sqref="H30"/>
    </sheetView>
  </sheetViews>
  <sheetFormatPr defaultColWidth="0" defaultRowHeight="15" customHeight="1" x14ac:dyDescent="0.2"/>
  <cols>
    <col min="1" max="1" width="23.28515625" style="31" hidden="1" customWidth="1"/>
    <col min="2" max="2" width="11" style="32" customWidth="1"/>
    <col min="3" max="3" width="10.7109375" style="32" hidden="1" customWidth="1"/>
    <col min="4" max="4" width="12.5703125" style="32" customWidth="1"/>
    <col min="5" max="5" width="12.85546875" style="32" customWidth="1"/>
    <col min="6" max="6" width="10.140625" style="32" bestFit="1" customWidth="1"/>
    <col min="7" max="7" width="7.140625" style="32" bestFit="1" customWidth="1"/>
    <col min="8" max="8" width="25.28515625" style="31" customWidth="1"/>
    <col min="9" max="9" width="11.42578125" style="32" customWidth="1"/>
    <col min="10" max="10" width="5.85546875" style="32" customWidth="1"/>
    <col min="11" max="11" width="6.42578125" style="32" hidden="1" customWidth="1"/>
    <col min="12" max="12" width="10" style="32" customWidth="1"/>
    <col min="13" max="13" width="10" style="32" hidden="1" customWidth="1"/>
    <col min="14" max="16" width="11.5703125" style="32" customWidth="1"/>
    <col min="17" max="17" width="11.28515625" style="32" bestFit="1" customWidth="1"/>
    <col min="18" max="18" width="9.85546875" style="31" hidden="1" customWidth="1"/>
    <col min="19" max="19" width="6.7109375" style="31" hidden="1" customWidth="1"/>
    <col min="20" max="20" width="10.5703125" style="31" hidden="1" customWidth="1"/>
    <col min="21" max="21" width="26.5703125" style="31" hidden="1" customWidth="1"/>
    <col min="22" max="22" width="10.140625" style="31" hidden="1" customWidth="1"/>
    <col min="23" max="23" width="11" style="31" hidden="1" customWidth="1"/>
    <col min="24" max="24" width="11.7109375" style="31" hidden="1" customWidth="1"/>
    <col min="25" max="25" width="10.140625" style="31" hidden="1" customWidth="1"/>
    <col min="26" max="26" width="7.140625" style="31" hidden="1" customWidth="1"/>
    <col min="27" max="28" width="8.42578125" style="31" hidden="1" customWidth="1"/>
    <col min="29" max="29" width="6.42578125" style="31" hidden="1" customWidth="1"/>
    <col min="30" max="36" width="0" style="31" hidden="1" customWidth="1"/>
    <col min="37" max="16384" width="149.140625" style="31" hidden="1"/>
  </cols>
  <sheetData>
    <row r="1" spans="2:22" customFormat="1" ht="15" customHeight="1" x14ac:dyDescent="0.25">
      <c r="B1" s="1"/>
      <c r="C1" s="2"/>
      <c r="D1" s="2"/>
      <c r="E1" s="2"/>
      <c r="F1" s="82" t="s">
        <v>33</v>
      </c>
      <c r="G1" s="82"/>
      <c r="H1" s="82"/>
      <c r="I1" s="82"/>
      <c r="J1" s="82"/>
      <c r="K1" s="82"/>
      <c r="L1" s="82"/>
      <c r="M1" s="2"/>
      <c r="N1" s="2"/>
      <c r="O1" s="2"/>
      <c r="P1" s="2"/>
      <c r="Q1" s="2"/>
    </row>
    <row r="2" spans="2:22" customFormat="1" ht="15" customHeight="1" x14ac:dyDescent="0.25">
      <c r="B2" s="3"/>
      <c r="C2" s="2"/>
      <c r="D2" s="2"/>
      <c r="E2" s="2"/>
      <c r="F2" s="2"/>
      <c r="G2" s="2"/>
      <c r="I2" s="2"/>
      <c r="J2" s="2"/>
      <c r="K2" s="2"/>
      <c r="L2" s="49"/>
      <c r="M2" s="2"/>
      <c r="N2" s="2"/>
      <c r="O2" s="2"/>
      <c r="P2" s="2"/>
      <c r="Q2" s="2"/>
    </row>
    <row r="3" spans="2:22" customFormat="1" ht="15" customHeight="1" x14ac:dyDescent="0.25">
      <c r="B3" s="1" t="s">
        <v>0</v>
      </c>
      <c r="C3" s="2"/>
      <c r="D3" s="66" t="s">
        <v>67</v>
      </c>
      <c r="E3" s="66"/>
      <c r="F3" s="66"/>
      <c r="G3" s="66"/>
      <c r="I3" s="3" t="s">
        <v>1</v>
      </c>
      <c r="J3" s="2"/>
      <c r="K3" s="2"/>
      <c r="L3" s="67" t="s">
        <v>68</v>
      </c>
      <c r="M3" s="67"/>
      <c r="N3" s="67"/>
      <c r="O3" s="67"/>
      <c r="P3" s="67"/>
      <c r="Q3" s="67"/>
    </row>
    <row r="4" spans="2:22" customFormat="1" ht="15" customHeight="1" x14ac:dyDescent="0.25">
      <c r="B4" s="1" t="s">
        <v>2</v>
      </c>
      <c r="C4" s="2"/>
      <c r="D4" s="83" t="s">
        <v>75</v>
      </c>
      <c r="E4" s="83"/>
      <c r="F4" s="83"/>
      <c r="G4" s="83"/>
      <c r="I4" s="3" t="s">
        <v>4</v>
      </c>
      <c r="L4" s="67" t="s">
        <v>94</v>
      </c>
      <c r="M4" s="67"/>
      <c r="N4" s="67"/>
      <c r="O4" s="67"/>
      <c r="P4" s="67"/>
      <c r="Q4" s="67"/>
    </row>
    <row r="5" spans="2:22" customFormat="1" ht="15" customHeight="1" x14ac:dyDescent="0.25">
      <c r="B5" s="1" t="s">
        <v>3</v>
      </c>
      <c r="C5" s="2"/>
      <c r="D5" s="4" t="s">
        <v>81</v>
      </c>
      <c r="E5" s="2"/>
      <c r="F5" s="2"/>
      <c r="G5" s="2"/>
      <c r="I5" s="3" t="s">
        <v>5</v>
      </c>
      <c r="J5" s="2"/>
      <c r="K5" s="2"/>
      <c r="L5" s="67" t="s">
        <v>70</v>
      </c>
      <c r="M5" s="67"/>
      <c r="N5" s="67"/>
      <c r="O5" s="67"/>
      <c r="P5" s="67"/>
      <c r="Q5" s="67"/>
    </row>
    <row r="6" spans="2:22" customFormat="1" ht="15" customHeight="1" x14ac:dyDescent="0.25">
      <c r="B6" s="1"/>
      <c r="C6" s="2"/>
      <c r="D6" s="66" t="s">
        <v>65</v>
      </c>
      <c r="E6" s="66"/>
      <c r="F6" s="54" t="s">
        <v>66</v>
      </c>
      <c r="G6" s="54">
        <v>10001</v>
      </c>
      <c r="I6" s="3" t="s">
        <v>7</v>
      </c>
      <c r="J6" s="2"/>
      <c r="K6" s="2"/>
      <c r="L6" s="67" t="s">
        <v>89</v>
      </c>
      <c r="M6" s="67"/>
      <c r="N6" s="67"/>
      <c r="O6" s="67"/>
      <c r="P6" s="67"/>
      <c r="Q6" s="67"/>
    </row>
    <row r="7" spans="2:22" customFormat="1" ht="15" customHeight="1" x14ac:dyDescent="0.25">
      <c r="B7" s="2"/>
      <c r="C7" s="2"/>
      <c r="D7" s="4"/>
      <c r="E7" s="2"/>
      <c r="F7" s="2"/>
      <c r="G7" s="2"/>
    </row>
    <row r="8" spans="2:22" customFormat="1" ht="15" customHeight="1" x14ac:dyDescent="0.25">
      <c r="B8" s="1" t="s">
        <v>6</v>
      </c>
      <c r="C8" s="2"/>
      <c r="D8" s="79">
        <v>2126539127</v>
      </c>
      <c r="E8" s="79"/>
      <c r="F8" s="79"/>
      <c r="G8" s="79"/>
      <c r="I8" s="3" t="s">
        <v>46</v>
      </c>
      <c r="J8" s="2"/>
      <c r="K8" s="2"/>
      <c r="L8" s="78">
        <v>46079</v>
      </c>
      <c r="M8" s="78"/>
      <c r="N8" s="78"/>
      <c r="O8" s="78"/>
      <c r="P8" s="78"/>
      <c r="Q8" s="78"/>
    </row>
    <row r="9" spans="2:22" customFormat="1" ht="15" customHeight="1" x14ac:dyDescent="0.25">
      <c r="B9" s="1" t="s">
        <v>8</v>
      </c>
      <c r="C9" s="2"/>
      <c r="D9" s="80">
        <v>9174776380</v>
      </c>
      <c r="E9" s="80"/>
      <c r="F9" s="80"/>
      <c r="G9" s="80"/>
      <c r="I9" s="3" t="s">
        <v>10</v>
      </c>
      <c r="J9" s="2"/>
      <c r="K9" s="2"/>
      <c r="L9" s="4">
        <v>2559</v>
      </c>
      <c r="M9" s="4"/>
      <c r="N9" s="4"/>
      <c r="O9" s="4"/>
      <c r="P9" s="4"/>
      <c r="Q9" s="4"/>
    </row>
    <row r="10" spans="2:22" customFormat="1" ht="15" customHeight="1" x14ac:dyDescent="0.25">
      <c r="B10" s="1" t="s">
        <v>9</v>
      </c>
      <c r="C10" s="2"/>
      <c r="D10" s="81" t="s">
        <v>76</v>
      </c>
      <c r="E10" s="81"/>
      <c r="F10" s="81"/>
      <c r="G10" s="81"/>
      <c r="I10" s="3" t="s">
        <v>48</v>
      </c>
      <c r="L10" s="4">
        <v>0</v>
      </c>
    </row>
    <row r="11" spans="2:22" customFormat="1" ht="15" customHeight="1" x14ac:dyDescent="0.25">
      <c r="B11" s="1"/>
      <c r="C11" s="2"/>
      <c r="D11" s="36"/>
      <c r="I11" s="3" t="s">
        <v>49</v>
      </c>
      <c r="J11" s="2"/>
      <c r="K11" s="67" t="s">
        <v>69</v>
      </c>
      <c r="L11" s="67"/>
      <c r="M11" s="67"/>
      <c r="N11" s="67"/>
      <c r="O11" s="67"/>
      <c r="P11" s="67"/>
      <c r="Q11" s="67"/>
    </row>
    <row r="12" spans="2:22" customFormat="1" ht="15" customHeight="1" x14ac:dyDescent="0.25">
      <c r="I12" s="3"/>
      <c r="J12" s="2"/>
      <c r="K12" s="2"/>
      <c r="L12" s="4"/>
      <c r="M12" s="4"/>
      <c r="N12" s="4"/>
      <c r="O12" s="4"/>
      <c r="P12" s="4"/>
      <c r="Q12" s="4"/>
    </row>
    <row r="13" spans="2:22" s="5" customFormat="1" ht="36.75" customHeight="1" x14ac:dyDescent="0.25">
      <c r="B13" s="6" t="s">
        <v>35</v>
      </c>
      <c r="C13" s="6"/>
      <c r="D13" s="5" t="s">
        <v>34</v>
      </c>
      <c r="E13" s="7" t="s">
        <v>13</v>
      </c>
      <c r="F13" s="7" t="s">
        <v>38</v>
      </c>
      <c r="G13" s="7" t="s">
        <v>39</v>
      </c>
      <c r="H13" s="8" t="s">
        <v>36</v>
      </c>
      <c r="I13" s="7" t="s">
        <v>52</v>
      </c>
      <c r="J13" s="5" t="s">
        <v>40</v>
      </c>
      <c r="L13" s="5" t="s">
        <v>37</v>
      </c>
      <c r="N13" s="5" t="s">
        <v>17</v>
      </c>
      <c r="O13" s="9" t="s">
        <v>53</v>
      </c>
      <c r="P13" s="5" t="s">
        <v>54</v>
      </c>
      <c r="R13" s="9"/>
      <c r="S13" s="9"/>
      <c r="T13" s="9"/>
      <c r="U13" s="9"/>
      <c r="V13" s="9"/>
    </row>
    <row r="14" spans="2:22" s="10" customFormat="1" x14ac:dyDescent="0.25">
      <c r="B14" s="55">
        <v>1</v>
      </c>
      <c r="C14" s="11"/>
      <c r="D14" s="12">
        <v>46090</v>
      </c>
      <c r="E14" s="12">
        <v>46110</v>
      </c>
      <c r="F14" s="55">
        <v>15</v>
      </c>
      <c r="G14" s="13" t="s">
        <v>64</v>
      </c>
      <c r="H14" s="10" t="s">
        <v>88</v>
      </c>
      <c r="I14" s="55">
        <v>1</v>
      </c>
      <c r="J14" s="55" t="s">
        <v>32</v>
      </c>
      <c r="L14" s="55">
        <f t="shared" ref="L14" si="0">F14*I14</f>
        <v>15</v>
      </c>
      <c r="N14" s="55" t="s">
        <v>77</v>
      </c>
      <c r="O14" s="51">
        <f>59.5/0.85</f>
        <v>70</v>
      </c>
      <c r="P14" s="51">
        <f t="shared" ref="P14" si="1">L14*O14</f>
        <v>1050</v>
      </c>
      <c r="R14" s="14"/>
      <c r="T14" s="14"/>
      <c r="U14" s="14"/>
      <c r="V14" s="14"/>
    </row>
    <row r="15" spans="2:22" s="10" customFormat="1" x14ac:dyDescent="0.25">
      <c r="B15" s="55">
        <v>2</v>
      </c>
      <c r="C15" s="11"/>
      <c r="D15" s="12">
        <v>46090</v>
      </c>
      <c r="E15" s="12">
        <v>46110</v>
      </c>
      <c r="F15" s="55">
        <v>15</v>
      </c>
      <c r="G15" s="13" t="s">
        <v>64</v>
      </c>
      <c r="H15" s="10" t="s">
        <v>84</v>
      </c>
      <c r="I15" s="55">
        <v>1</v>
      </c>
      <c r="J15" s="55" t="s">
        <v>32</v>
      </c>
      <c r="L15" s="55">
        <f t="shared" ref="L15" si="2">F15*I15</f>
        <v>15</v>
      </c>
      <c r="N15" s="55" t="s">
        <v>77</v>
      </c>
      <c r="O15" s="51">
        <f>59.5/0.85</f>
        <v>70</v>
      </c>
      <c r="P15" s="51">
        <f t="shared" ref="P15" si="3">L15*O15</f>
        <v>1050</v>
      </c>
      <c r="R15" s="14"/>
      <c r="T15" s="14"/>
      <c r="U15" s="14"/>
      <c r="V15" s="14"/>
    </row>
    <row r="16" spans="2:22" s="10" customFormat="1" x14ac:dyDescent="0.25">
      <c r="B16" s="55">
        <v>3</v>
      </c>
      <c r="C16" s="11"/>
      <c r="D16" s="12">
        <v>46090</v>
      </c>
      <c r="E16" s="12">
        <v>46110</v>
      </c>
      <c r="F16" s="55">
        <v>12</v>
      </c>
      <c r="G16" s="13" t="s">
        <v>64</v>
      </c>
      <c r="H16" s="10" t="s">
        <v>85</v>
      </c>
      <c r="I16" s="55">
        <v>1</v>
      </c>
      <c r="J16" s="55" t="s">
        <v>32</v>
      </c>
      <c r="L16" s="55">
        <f t="shared" ref="L16" si="4">F16*I16</f>
        <v>12</v>
      </c>
      <c r="N16" s="55" t="s">
        <v>77</v>
      </c>
      <c r="O16" s="51">
        <f>59.5/0.85</f>
        <v>70</v>
      </c>
      <c r="P16" s="51">
        <f t="shared" ref="P16" si="5">L16*O16</f>
        <v>840</v>
      </c>
      <c r="R16" s="14"/>
      <c r="T16" s="14"/>
      <c r="U16" s="14"/>
      <c r="V16" s="14"/>
    </row>
    <row r="17" spans="2:22" s="10" customFormat="1" ht="15.75" thickBot="1" x14ac:dyDescent="0.3">
      <c r="B17" s="55">
        <v>4</v>
      </c>
      <c r="C17" s="11"/>
      <c r="D17" s="12">
        <v>46090</v>
      </c>
      <c r="E17" s="12">
        <v>46110</v>
      </c>
      <c r="F17" s="55">
        <v>27</v>
      </c>
      <c r="G17" s="13" t="s">
        <v>64</v>
      </c>
      <c r="H17" s="10" t="s">
        <v>86</v>
      </c>
      <c r="I17" s="55">
        <v>1</v>
      </c>
      <c r="J17" s="55" t="s">
        <v>32</v>
      </c>
      <c r="L17" s="55">
        <f t="shared" ref="L17" si="6">F17*I17</f>
        <v>27</v>
      </c>
      <c r="N17" s="55" t="s">
        <v>77</v>
      </c>
      <c r="O17" s="51">
        <f>59.5/0.85</f>
        <v>70</v>
      </c>
      <c r="P17" s="51">
        <f t="shared" ref="P17" si="7">L17*O17</f>
        <v>1890</v>
      </c>
      <c r="R17" s="14"/>
      <c r="T17" s="14"/>
      <c r="U17" s="14"/>
      <c r="V17" s="14"/>
    </row>
    <row r="18" spans="2:22" s="15" customFormat="1" ht="15" customHeight="1" thickTop="1" x14ac:dyDescent="0.25">
      <c r="B18" s="16"/>
      <c r="C18" s="16"/>
      <c r="D18" s="17"/>
      <c r="E18" s="16"/>
      <c r="F18" s="16"/>
      <c r="G18" s="16"/>
      <c r="H18" s="18"/>
      <c r="I18" s="18" t="s">
        <v>50</v>
      </c>
      <c r="J18" s="19"/>
      <c r="K18" s="19"/>
      <c r="L18" s="39">
        <f>SUM(L14:L17)</f>
        <v>69</v>
      </c>
      <c r="M18" s="19"/>
      <c r="N18" s="19" t="s">
        <v>43</v>
      </c>
      <c r="O18" s="19"/>
      <c r="P18" s="20">
        <f>SUM(P14:P17)</f>
        <v>4830</v>
      </c>
      <c r="Q18" s="16"/>
    </row>
    <row r="19" spans="2:22" s="21" customFormat="1" ht="15" customHeight="1" thickBot="1" x14ac:dyDescent="0.3">
      <c r="B19" s="68" t="s">
        <v>41</v>
      </c>
      <c r="C19" s="68"/>
      <c r="D19" s="68"/>
      <c r="E19" s="68"/>
      <c r="F19" s="68"/>
      <c r="G19" s="68"/>
      <c r="H19" s="23"/>
      <c r="I19" s="23" t="s">
        <v>71</v>
      </c>
      <c r="J19" s="50"/>
      <c r="K19" s="34"/>
      <c r="L19" s="37">
        <v>0.15</v>
      </c>
      <c r="M19" s="24"/>
      <c r="N19" s="24"/>
      <c r="O19" s="25"/>
      <c r="P19" s="26">
        <f>-1*(L19*P18)</f>
        <v>-724.5</v>
      </c>
      <c r="Q19" s="27"/>
    </row>
    <row r="20" spans="2:22" s="21" customFormat="1" ht="15" customHeight="1" thickTop="1" thickBot="1" x14ac:dyDescent="0.3">
      <c r="B20" s="69" t="s">
        <v>93</v>
      </c>
      <c r="C20" s="70"/>
      <c r="D20" s="70"/>
      <c r="E20" s="70"/>
      <c r="F20" s="70"/>
      <c r="G20" s="71"/>
      <c r="H20" s="3"/>
      <c r="I20" s="3" t="s">
        <v>51</v>
      </c>
      <c r="J20" s="22"/>
      <c r="K20" s="35"/>
      <c r="L20" s="28"/>
      <c r="M20" s="29"/>
      <c r="N20" s="29"/>
      <c r="O20" s="29"/>
      <c r="P20" s="30">
        <f>SUM(P18:P19)</f>
        <v>4105.5</v>
      </c>
      <c r="Q20" s="22"/>
    </row>
    <row r="21" spans="2:22" s="21" customFormat="1" ht="15" customHeight="1" thickTop="1" x14ac:dyDescent="0.25">
      <c r="B21" s="72"/>
      <c r="C21" s="73"/>
      <c r="D21" s="73"/>
      <c r="E21" s="73"/>
      <c r="F21" s="73"/>
      <c r="G21" s="74"/>
      <c r="I21" s="22"/>
      <c r="J21" s="22"/>
      <c r="K21" s="22"/>
      <c r="L21" s="22"/>
      <c r="M21" s="22"/>
      <c r="N21" s="22"/>
      <c r="O21" s="22"/>
      <c r="P21" s="22"/>
      <c r="Q21" s="22"/>
    </row>
    <row r="22" spans="2:22" s="21" customFormat="1" ht="15" customHeight="1" x14ac:dyDescent="0.25">
      <c r="B22" s="72"/>
      <c r="C22" s="73"/>
      <c r="D22" s="73"/>
      <c r="E22" s="73"/>
      <c r="F22" s="73"/>
      <c r="G22" s="74"/>
      <c r="I22" s="3" t="s">
        <v>45</v>
      </c>
      <c r="J22" s="22"/>
      <c r="K22" s="22"/>
      <c r="L22" s="38"/>
      <c r="M22" s="38"/>
      <c r="N22" s="38"/>
      <c r="O22" s="38"/>
      <c r="P22" s="38"/>
      <c r="Q22" s="22"/>
    </row>
    <row r="23" spans="2:22" s="21" customFormat="1" ht="15" customHeight="1" x14ac:dyDescent="0.25">
      <c r="B23" s="72"/>
      <c r="C23" s="73"/>
      <c r="D23" s="73"/>
      <c r="E23" s="73"/>
      <c r="F23" s="73"/>
      <c r="G23" s="74"/>
      <c r="I23" s="3"/>
      <c r="J23" s="22"/>
      <c r="K23" s="22"/>
      <c r="L23" s="22"/>
      <c r="M23" s="22"/>
      <c r="N23" s="22"/>
      <c r="O23" s="22"/>
      <c r="P23" s="22"/>
      <c r="Q23" s="22"/>
    </row>
    <row r="24" spans="2:22" s="21" customFormat="1" ht="15" customHeight="1" x14ac:dyDescent="0.25">
      <c r="B24" s="72"/>
      <c r="C24" s="73"/>
      <c r="D24" s="73"/>
      <c r="E24" s="73"/>
      <c r="F24" s="73"/>
      <c r="G24" s="74"/>
      <c r="I24" s="3" t="s">
        <v>44</v>
      </c>
      <c r="J24" s="22"/>
      <c r="K24" s="22"/>
      <c r="L24" s="38"/>
      <c r="M24" s="38"/>
      <c r="N24" s="38"/>
      <c r="O24" s="38"/>
      <c r="P24" s="38"/>
      <c r="Q24" s="22"/>
    </row>
    <row r="25" spans="2:22" s="21" customFormat="1" ht="15" customHeight="1" x14ac:dyDescent="0.25">
      <c r="B25" s="75"/>
      <c r="C25" s="76"/>
      <c r="D25" s="76"/>
      <c r="E25" s="76"/>
      <c r="F25" s="76"/>
      <c r="G25" s="77"/>
      <c r="I25" s="33"/>
      <c r="J25" s="33"/>
      <c r="K25" s="33"/>
      <c r="L25" s="33"/>
      <c r="M25" s="33"/>
      <c r="N25" s="33"/>
      <c r="O25" s="33"/>
      <c r="P25" s="33"/>
      <c r="Q25" s="22"/>
    </row>
    <row r="26" spans="2:22" s="21" customFormat="1" ht="15" customHeight="1" x14ac:dyDescent="0.25">
      <c r="B26" s="21" t="s">
        <v>79</v>
      </c>
      <c r="I26" s="33"/>
      <c r="J26" s="33"/>
      <c r="K26" s="33"/>
      <c r="L26" s="33"/>
      <c r="M26" s="33"/>
      <c r="N26" s="33"/>
      <c r="O26" s="33"/>
      <c r="P26" s="33"/>
      <c r="Q26" s="22"/>
    </row>
    <row r="27" spans="2:22" s="21" customFormat="1" ht="15" customHeight="1" x14ac:dyDescent="0.25">
      <c r="B27" s="65" t="s">
        <v>74</v>
      </c>
      <c r="C27" s="65"/>
      <c r="D27" s="65"/>
      <c r="E27" s="65"/>
      <c r="F27" s="40"/>
      <c r="G27" s="40"/>
      <c r="I27" s="33"/>
      <c r="J27" s="33"/>
      <c r="K27" s="33"/>
      <c r="L27" s="33"/>
      <c r="M27" s="33"/>
      <c r="N27" s="33"/>
      <c r="O27" s="33"/>
      <c r="P27" s="33"/>
      <c r="Q27" s="22"/>
    </row>
    <row r="28" spans="2:22" s="21" customFormat="1" ht="15" customHeight="1" x14ac:dyDescent="0.25">
      <c r="B28" s="1"/>
      <c r="C28" s="1"/>
      <c r="D28" s="1"/>
      <c r="E28" s="40"/>
      <c r="F28" s="40"/>
      <c r="G28" s="40"/>
      <c r="I28" s="33"/>
      <c r="J28" s="33"/>
      <c r="K28" s="33"/>
      <c r="L28" s="33"/>
      <c r="M28" s="33"/>
      <c r="N28" s="33"/>
      <c r="O28" s="33"/>
      <c r="P28" s="33"/>
      <c r="Q28" s="22"/>
    </row>
    <row r="29" spans="2:22" s="21" customFormat="1" ht="15" customHeight="1" x14ac:dyDescent="0.25">
      <c r="B29" s="1" t="s">
        <v>56</v>
      </c>
      <c r="C29" s="1"/>
      <c r="D29" s="1" t="s">
        <v>73</v>
      </c>
      <c r="E29" s="1" t="s">
        <v>57</v>
      </c>
      <c r="F29" s="1"/>
      <c r="H29" s="33"/>
      <c r="I29" s="33"/>
      <c r="J29" s="33"/>
      <c r="K29" s="33"/>
      <c r="L29" s="33"/>
      <c r="M29" s="33"/>
      <c r="N29" s="33"/>
      <c r="O29" s="33"/>
      <c r="P29" s="22"/>
    </row>
    <row r="30" spans="2:22" s="21" customFormat="1" ht="15" customHeight="1" thickBot="1" x14ac:dyDescent="0.3">
      <c r="B30" s="41" t="s">
        <v>92</v>
      </c>
      <c r="C30" s="41"/>
      <c r="D30" s="52">
        <v>4830</v>
      </c>
      <c r="E30" s="52">
        <f>D30*0.85</f>
        <v>4105.5</v>
      </c>
      <c r="F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22" s="21" customFormat="1" ht="15" customHeight="1" thickTop="1" x14ac:dyDescent="0.25">
      <c r="B31" s="42" t="s">
        <v>55</v>
      </c>
      <c r="C31" s="22"/>
      <c r="D31" s="53">
        <f>SUM(D30:D30)</f>
        <v>4830</v>
      </c>
      <c r="E31" s="53">
        <f>SUM(E30:E30)</f>
        <v>4105.5</v>
      </c>
      <c r="F31" s="22"/>
      <c r="H31" s="22"/>
      <c r="I31" s="22"/>
      <c r="J31" s="22"/>
      <c r="K31" s="22"/>
    </row>
  </sheetData>
  <dataConsolidate function="count">
    <dataRefs count="1">
      <dataRef ref="H13:H94" sheet="AdAsia-C" r:id="rId1"/>
    </dataRefs>
  </dataConsolidate>
  <mergeCells count="16">
    <mergeCell ref="F1:L1"/>
    <mergeCell ref="D3:G3"/>
    <mergeCell ref="L3:Q3"/>
    <mergeCell ref="D4:G4"/>
    <mergeCell ref="L4:Q4"/>
    <mergeCell ref="B27:E27"/>
    <mergeCell ref="D6:E6"/>
    <mergeCell ref="L5:Q5"/>
    <mergeCell ref="B19:G19"/>
    <mergeCell ref="B20:G25"/>
    <mergeCell ref="K11:Q11"/>
    <mergeCell ref="L8:Q8"/>
    <mergeCell ref="D8:G8"/>
    <mergeCell ref="L6:Q6"/>
    <mergeCell ref="D9:G9"/>
    <mergeCell ref="D10:G10"/>
  </mergeCells>
  <phoneticPr fontId="0" type="noConversion"/>
  <hyperlinks>
    <hyperlink ref="D10" r:id="rId2" xr:uid="{70F00F2C-3E28-479B-A71D-771FA8072CBD}"/>
  </hyperlinks>
  <pageMargins left="0.7" right="0.7" top="0.75" bottom="0.75" header="0.3" footer="0.3"/>
  <pageSetup scale="82" fitToHeight="10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0"/>
  <sheetViews>
    <sheetView workbookViewId="0">
      <pane ySplit="1" topLeftCell="A2" activePane="bottomLeft" state="frozen"/>
      <selection activeCell="M1" sqref="M1"/>
      <selection pane="bottomLeft" activeCell="A2" sqref="A2:XFD70"/>
    </sheetView>
  </sheetViews>
  <sheetFormatPr defaultRowHeight="15" x14ac:dyDescent="0.25"/>
  <cols>
    <col min="1" max="1" width="11.7109375" customWidth="1"/>
    <col min="2" max="2" width="8.7109375" bestFit="1" customWidth="1"/>
    <col min="3" max="3" width="8.85546875" bestFit="1" customWidth="1"/>
    <col min="4" max="4" width="10.42578125" customWidth="1"/>
    <col min="5" max="6" width="9.140625" bestFit="1" customWidth="1"/>
    <col min="7" max="7" width="12.28515625" customWidth="1"/>
    <col min="8" max="8" width="40.5703125" bestFit="1" customWidth="1"/>
    <col min="9" max="9" width="17.28515625" customWidth="1"/>
    <col min="10" max="10" width="5.5703125" bestFit="1" customWidth="1"/>
    <col min="11" max="11" width="7.28515625" bestFit="1" customWidth="1"/>
    <col min="12" max="12" width="5" bestFit="1" customWidth="1"/>
    <col min="13" max="13" width="11.140625" bestFit="1" customWidth="1"/>
    <col min="14" max="14" width="5.28515625" bestFit="1" customWidth="1"/>
    <col min="15" max="15" width="18.28515625" customWidth="1"/>
    <col min="16" max="16" width="12.5703125" customWidth="1"/>
    <col min="17" max="17" width="11.28515625" bestFit="1" customWidth="1"/>
    <col min="18" max="18" width="11" bestFit="1" customWidth="1"/>
    <col min="19" max="19" width="13.7109375" style="44" bestFit="1" customWidth="1"/>
    <col min="20" max="20" width="11.85546875" bestFit="1" customWidth="1"/>
    <col min="21" max="21" width="30" style="47" bestFit="1" customWidth="1"/>
    <col min="22" max="22" width="11.5703125" bestFit="1" customWidth="1"/>
    <col min="23" max="23" width="14.42578125" bestFit="1" customWidth="1"/>
    <col min="24" max="24" width="13.7109375" bestFit="1" customWidth="1"/>
    <col min="25" max="25" width="11.28515625" bestFit="1" customWidth="1"/>
    <col min="26" max="26" width="11.85546875" bestFit="1" customWidth="1"/>
    <col min="27" max="27" width="9.7109375" bestFit="1" customWidth="1"/>
    <col min="28" max="28" width="9.5703125" bestFit="1" customWidth="1"/>
    <col min="29" max="29" width="7.42578125" bestFit="1" customWidth="1"/>
  </cols>
  <sheetData>
    <row r="1" spans="1:29" s="5" customFormat="1" ht="20.25" customHeight="1" x14ac:dyDescent="0.25">
      <c r="A1" s="5" t="s">
        <v>11</v>
      </c>
      <c r="B1" s="6" t="s">
        <v>12</v>
      </c>
      <c r="C1" s="6" t="s">
        <v>13</v>
      </c>
      <c r="D1" s="5" t="s">
        <v>14</v>
      </c>
      <c r="E1" s="7" t="s">
        <v>15</v>
      </c>
      <c r="F1" s="7" t="s">
        <v>16</v>
      </c>
      <c r="G1" s="7" t="s">
        <v>17</v>
      </c>
      <c r="H1" s="8" t="s">
        <v>18</v>
      </c>
      <c r="I1" s="7" t="s">
        <v>47</v>
      </c>
      <c r="J1" s="5" t="s">
        <v>19</v>
      </c>
      <c r="K1" s="5" t="s">
        <v>20</v>
      </c>
      <c r="L1" s="5" t="s">
        <v>21</v>
      </c>
      <c r="M1" s="5" t="s">
        <v>58</v>
      </c>
      <c r="N1" s="5" t="s">
        <v>22</v>
      </c>
      <c r="O1" s="5" t="s">
        <v>4</v>
      </c>
      <c r="P1" s="9" t="s">
        <v>42</v>
      </c>
      <c r="Q1" s="5" t="s">
        <v>23</v>
      </c>
      <c r="R1" s="9" t="s">
        <v>24</v>
      </c>
      <c r="S1" s="43" t="s">
        <v>56</v>
      </c>
      <c r="T1" s="9" t="s">
        <v>25</v>
      </c>
      <c r="U1" s="46" t="s">
        <v>63</v>
      </c>
      <c r="V1" s="9" t="s">
        <v>26</v>
      </c>
      <c r="W1" s="5" t="s">
        <v>27</v>
      </c>
      <c r="X1" s="5" t="s">
        <v>28</v>
      </c>
      <c r="Y1" s="5" t="s">
        <v>5</v>
      </c>
      <c r="Z1" s="5" t="s">
        <v>29</v>
      </c>
      <c r="AA1" s="5" t="s">
        <v>30</v>
      </c>
      <c r="AB1" s="5" t="s">
        <v>82</v>
      </c>
      <c r="AC1" s="5" t="s">
        <v>7</v>
      </c>
    </row>
    <row r="2" spans="1:29" s="10" customFormat="1" ht="15" customHeight="1" x14ac:dyDescent="0.25">
      <c r="A2" t="s">
        <v>83</v>
      </c>
      <c r="B2" s="57">
        <v>46091</v>
      </c>
      <c r="C2" s="56">
        <f t="shared" ref="C2:C65" si="0">B2</f>
        <v>46091</v>
      </c>
      <c r="D2" s="58" t="str">
        <f t="shared" ref="D2:D65" si="1">TEXT(B2,"dddd")</f>
        <v>Tuesday</v>
      </c>
      <c r="E2" s="59">
        <v>0.45833333333333331</v>
      </c>
      <c r="F2" s="59">
        <v>0.47916666666666669</v>
      </c>
      <c r="G2" s="59">
        <v>1.7361111111111109E-4</v>
      </c>
      <c r="H2" t="s">
        <v>95</v>
      </c>
      <c r="I2" s="60" t="s">
        <v>87</v>
      </c>
      <c r="J2" t="s">
        <v>90</v>
      </c>
      <c r="L2">
        <v>1</v>
      </c>
      <c r="M2">
        <v>72868</v>
      </c>
      <c r="N2" t="s">
        <v>32</v>
      </c>
      <c r="O2" t="s">
        <v>96</v>
      </c>
      <c r="P2" s="61">
        <v>70</v>
      </c>
      <c r="R2" s="61">
        <f t="shared" ref="R2:R65" si="2">P2</f>
        <v>70</v>
      </c>
      <c r="S2" s="62">
        <v>46091</v>
      </c>
      <c r="T2" s="61">
        <f t="shared" ref="T2:T65" si="3">P2*0.15</f>
        <v>10.5</v>
      </c>
      <c r="U2" s="63">
        <v>4</v>
      </c>
      <c r="V2" s="61">
        <f t="shared" ref="V2:V65" si="4">P2-T2</f>
        <v>59.5</v>
      </c>
      <c r="W2" t="s">
        <v>69</v>
      </c>
      <c r="X2" t="s">
        <v>78</v>
      </c>
      <c r="Y2" t="s">
        <v>70</v>
      </c>
      <c r="Z2" t="s">
        <v>72</v>
      </c>
      <c r="AA2" t="s">
        <v>31</v>
      </c>
      <c r="AB2" s="63" t="s">
        <v>97</v>
      </c>
      <c r="AC2" t="s">
        <v>89</v>
      </c>
    </row>
    <row r="3" spans="1:29" s="10" customFormat="1" ht="15" customHeight="1" x14ac:dyDescent="0.25">
      <c r="A3" t="s">
        <v>83</v>
      </c>
      <c r="B3" s="57">
        <v>46094</v>
      </c>
      <c r="C3" s="56">
        <f t="shared" si="0"/>
        <v>46094</v>
      </c>
      <c r="D3" s="58" t="str">
        <f t="shared" si="1"/>
        <v>Friday</v>
      </c>
      <c r="E3" s="59">
        <v>0.45833333333333331</v>
      </c>
      <c r="F3" s="59">
        <v>0.47916666666666669</v>
      </c>
      <c r="G3" s="59">
        <v>1.7361111111111109E-4</v>
      </c>
      <c r="H3" t="s">
        <v>95</v>
      </c>
      <c r="I3" s="60" t="s">
        <v>87</v>
      </c>
      <c r="J3" t="s">
        <v>90</v>
      </c>
      <c r="L3">
        <v>1</v>
      </c>
      <c r="M3">
        <v>72868</v>
      </c>
      <c r="N3" t="s">
        <v>32</v>
      </c>
      <c r="O3" t="s">
        <v>96</v>
      </c>
      <c r="P3" s="61">
        <v>70</v>
      </c>
      <c r="R3" s="61">
        <f t="shared" si="2"/>
        <v>70</v>
      </c>
      <c r="S3" s="62">
        <v>46094</v>
      </c>
      <c r="T3" s="61">
        <f t="shared" si="3"/>
        <v>10.5</v>
      </c>
      <c r="U3" s="63">
        <v>4</v>
      </c>
      <c r="V3" s="61">
        <f t="shared" si="4"/>
        <v>59.5</v>
      </c>
      <c r="W3" t="s">
        <v>69</v>
      </c>
      <c r="X3" t="s">
        <v>78</v>
      </c>
      <c r="Y3" t="s">
        <v>70</v>
      </c>
      <c r="Z3" t="s">
        <v>72</v>
      </c>
      <c r="AA3" t="s">
        <v>31</v>
      </c>
      <c r="AB3" s="63" t="s">
        <v>97</v>
      </c>
      <c r="AC3" t="s">
        <v>89</v>
      </c>
    </row>
    <row r="4" spans="1:29" s="10" customFormat="1" ht="15" customHeight="1" x14ac:dyDescent="0.25">
      <c r="A4" t="s">
        <v>83</v>
      </c>
      <c r="B4" s="57">
        <v>46097</v>
      </c>
      <c r="C4" s="56">
        <f t="shared" si="0"/>
        <v>46097</v>
      </c>
      <c r="D4" s="58" t="str">
        <f t="shared" si="1"/>
        <v>Monday</v>
      </c>
      <c r="E4" s="59">
        <v>0.45833333333333331</v>
      </c>
      <c r="F4" s="59">
        <v>0.47916666666666669</v>
      </c>
      <c r="G4" s="59">
        <v>1.7361111111111109E-4</v>
      </c>
      <c r="H4" t="s">
        <v>98</v>
      </c>
      <c r="I4" s="60" t="s">
        <v>87</v>
      </c>
      <c r="J4" t="s">
        <v>90</v>
      </c>
      <c r="L4">
        <v>1</v>
      </c>
      <c r="M4">
        <v>72868</v>
      </c>
      <c r="N4" t="s">
        <v>32</v>
      </c>
      <c r="O4" t="s">
        <v>96</v>
      </c>
      <c r="P4" s="61">
        <v>70</v>
      </c>
      <c r="R4" s="61">
        <f t="shared" si="2"/>
        <v>70</v>
      </c>
      <c r="S4" s="62">
        <v>46097</v>
      </c>
      <c r="T4" s="61">
        <f t="shared" si="3"/>
        <v>10.5</v>
      </c>
      <c r="U4" s="63">
        <v>4</v>
      </c>
      <c r="V4" s="61">
        <f t="shared" si="4"/>
        <v>59.5</v>
      </c>
      <c r="W4" t="s">
        <v>69</v>
      </c>
      <c r="X4" t="s">
        <v>78</v>
      </c>
      <c r="Y4" t="s">
        <v>70</v>
      </c>
      <c r="Z4" t="s">
        <v>72</v>
      </c>
      <c r="AA4" t="s">
        <v>31</v>
      </c>
      <c r="AB4" s="63" t="s">
        <v>97</v>
      </c>
      <c r="AC4" t="s">
        <v>89</v>
      </c>
    </row>
    <row r="5" spans="1:29" x14ac:dyDescent="0.25">
      <c r="A5" t="s">
        <v>83</v>
      </c>
      <c r="B5" s="57">
        <v>46099</v>
      </c>
      <c r="C5" s="56">
        <f t="shared" si="0"/>
        <v>46099</v>
      </c>
      <c r="D5" s="58" t="str">
        <f t="shared" si="1"/>
        <v>Wednesday</v>
      </c>
      <c r="E5" s="59">
        <v>0.45833333333333331</v>
      </c>
      <c r="F5" s="59">
        <v>0.47916666666666669</v>
      </c>
      <c r="G5" s="59">
        <v>1.7361111111111109E-4</v>
      </c>
      <c r="H5" t="s">
        <v>98</v>
      </c>
      <c r="I5" s="60" t="s">
        <v>87</v>
      </c>
      <c r="J5" t="s">
        <v>90</v>
      </c>
      <c r="L5">
        <v>1</v>
      </c>
      <c r="M5">
        <v>72868</v>
      </c>
      <c r="N5" t="s">
        <v>32</v>
      </c>
      <c r="O5" t="s">
        <v>96</v>
      </c>
      <c r="P5" s="64">
        <v>70</v>
      </c>
      <c r="R5" s="64">
        <f t="shared" si="2"/>
        <v>70</v>
      </c>
      <c r="S5" s="62">
        <v>46099</v>
      </c>
      <c r="T5" s="64">
        <f t="shared" si="3"/>
        <v>10.5</v>
      </c>
      <c r="U5" s="63">
        <v>4</v>
      </c>
      <c r="V5" s="64">
        <f t="shared" si="4"/>
        <v>59.5</v>
      </c>
      <c r="W5" t="s">
        <v>69</v>
      </c>
      <c r="X5" t="s">
        <v>78</v>
      </c>
      <c r="Y5" t="s">
        <v>70</v>
      </c>
      <c r="Z5" t="s">
        <v>72</v>
      </c>
      <c r="AA5" t="s">
        <v>31</v>
      </c>
      <c r="AB5" s="63" t="s">
        <v>97</v>
      </c>
      <c r="AC5" t="s">
        <v>89</v>
      </c>
    </row>
    <row r="6" spans="1:29" x14ac:dyDescent="0.25">
      <c r="A6" t="s">
        <v>83</v>
      </c>
      <c r="B6" s="57">
        <v>46106</v>
      </c>
      <c r="C6" s="56">
        <f t="shared" si="0"/>
        <v>46106</v>
      </c>
      <c r="D6" s="58" t="str">
        <f t="shared" si="1"/>
        <v>Wednesday</v>
      </c>
      <c r="E6" s="59">
        <v>0.45833333333333331</v>
      </c>
      <c r="F6" s="59">
        <v>0.47916666666666669</v>
      </c>
      <c r="G6" s="59">
        <v>1.7361111111111109E-4</v>
      </c>
      <c r="H6" t="s">
        <v>95</v>
      </c>
      <c r="I6" s="60" t="s">
        <v>87</v>
      </c>
      <c r="J6" t="s">
        <v>90</v>
      </c>
      <c r="L6">
        <v>1</v>
      </c>
      <c r="M6">
        <v>72868</v>
      </c>
      <c r="N6" t="s">
        <v>32</v>
      </c>
      <c r="O6" t="s">
        <v>96</v>
      </c>
      <c r="P6" s="64">
        <v>70</v>
      </c>
      <c r="R6" s="64">
        <f t="shared" si="2"/>
        <v>70</v>
      </c>
      <c r="S6" s="62">
        <v>46106</v>
      </c>
      <c r="T6" s="64">
        <f t="shared" si="3"/>
        <v>10.5</v>
      </c>
      <c r="U6" s="63">
        <v>4</v>
      </c>
      <c r="V6" s="64">
        <f t="shared" si="4"/>
        <v>59.5</v>
      </c>
      <c r="W6" t="s">
        <v>69</v>
      </c>
      <c r="X6" t="s">
        <v>78</v>
      </c>
      <c r="Y6" t="s">
        <v>70</v>
      </c>
      <c r="Z6" t="s">
        <v>72</v>
      </c>
      <c r="AA6" t="s">
        <v>31</v>
      </c>
      <c r="AB6" s="63" t="s">
        <v>97</v>
      </c>
      <c r="AC6" t="s">
        <v>89</v>
      </c>
    </row>
    <row r="7" spans="1:29" x14ac:dyDescent="0.25">
      <c r="A7" t="s">
        <v>83</v>
      </c>
      <c r="B7" s="57">
        <v>46092</v>
      </c>
      <c r="C7" s="56">
        <f t="shared" si="0"/>
        <v>46092</v>
      </c>
      <c r="D7" s="58" t="str">
        <f t="shared" si="1"/>
        <v>Wednesday</v>
      </c>
      <c r="E7" s="59">
        <v>0.45833333333333331</v>
      </c>
      <c r="F7" s="59">
        <v>0.47916666666666669</v>
      </c>
      <c r="G7" s="59">
        <v>1.7361111111111109E-4</v>
      </c>
      <c r="H7" t="s">
        <v>95</v>
      </c>
      <c r="I7" s="60" t="s">
        <v>99</v>
      </c>
      <c r="J7" t="s">
        <v>90</v>
      </c>
      <c r="L7">
        <v>1</v>
      </c>
      <c r="M7">
        <v>72868</v>
      </c>
      <c r="N7" t="s">
        <v>32</v>
      </c>
      <c r="O7" t="s">
        <v>96</v>
      </c>
      <c r="P7" s="64">
        <v>70</v>
      </c>
      <c r="R7" s="64">
        <f t="shared" si="2"/>
        <v>70</v>
      </c>
      <c r="S7" s="62">
        <v>46092</v>
      </c>
      <c r="T7" s="64">
        <f t="shared" si="3"/>
        <v>10.5</v>
      </c>
      <c r="U7" s="63">
        <v>4</v>
      </c>
      <c r="V7" s="64">
        <f t="shared" si="4"/>
        <v>59.5</v>
      </c>
      <c r="W7" t="s">
        <v>69</v>
      </c>
      <c r="X7" t="s">
        <v>78</v>
      </c>
      <c r="Y7" t="s">
        <v>70</v>
      </c>
      <c r="Z7" t="s">
        <v>72</v>
      </c>
      <c r="AA7" t="s">
        <v>31</v>
      </c>
      <c r="AB7" s="63" t="s">
        <v>97</v>
      </c>
      <c r="AC7" t="s">
        <v>89</v>
      </c>
    </row>
    <row r="8" spans="1:29" x14ac:dyDescent="0.25">
      <c r="A8" t="s">
        <v>83</v>
      </c>
      <c r="B8" s="57">
        <v>46093</v>
      </c>
      <c r="C8" s="56">
        <f t="shared" si="0"/>
        <v>46093</v>
      </c>
      <c r="D8" s="58" t="str">
        <f t="shared" si="1"/>
        <v>Thursday</v>
      </c>
      <c r="E8" s="59">
        <v>0.45833333333333331</v>
      </c>
      <c r="F8" s="59">
        <v>0.47916666666666669</v>
      </c>
      <c r="G8" s="59">
        <v>1.7361111111111109E-4</v>
      </c>
      <c r="H8" t="s">
        <v>95</v>
      </c>
      <c r="I8" s="60" t="s">
        <v>99</v>
      </c>
      <c r="J8" t="s">
        <v>90</v>
      </c>
      <c r="L8">
        <v>1</v>
      </c>
      <c r="M8">
        <v>72868</v>
      </c>
      <c r="N8" t="s">
        <v>32</v>
      </c>
      <c r="O8" t="s">
        <v>96</v>
      </c>
      <c r="P8" s="64">
        <v>70</v>
      </c>
      <c r="R8" s="64">
        <f t="shared" si="2"/>
        <v>70</v>
      </c>
      <c r="S8" s="62">
        <v>46093</v>
      </c>
      <c r="T8" s="64">
        <f t="shared" si="3"/>
        <v>10.5</v>
      </c>
      <c r="U8" s="63">
        <v>4</v>
      </c>
      <c r="V8" s="64">
        <f t="shared" si="4"/>
        <v>59.5</v>
      </c>
      <c r="W8" t="s">
        <v>69</v>
      </c>
      <c r="X8" t="s">
        <v>78</v>
      </c>
      <c r="Y8" t="s">
        <v>70</v>
      </c>
      <c r="Z8" t="s">
        <v>72</v>
      </c>
      <c r="AA8" t="s">
        <v>31</v>
      </c>
      <c r="AB8" s="63" t="s">
        <v>97</v>
      </c>
      <c r="AC8" t="s">
        <v>89</v>
      </c>
    </row>
    <row r="9" spans="1:29" x14ac:dyDescent="0.25">
      <c r="A9" t="s">
        <v>83</v>
      </c>
      <c r="B9" s="57">
        <v>46100</v>
      </c>
      <c r="C9" s="56">
        <f t="shared" si="0"/>
        <v>46100</v>
      </c>
      <c r="D9" s="58" t="str">
        <f t="shared" si="1"/>
        <v>Thursday</v>
      </c>
      <c r="E9" s="59">
        <v>0.45833333333333331</v>
      </c>
      <c r="F9" s="59">
        <v>0.47916666666666669</v>
      </c>
      <c r="G9" s="59">
        <v>1.7361111111111109E-4</v>
      </c>
      <c r="H9" t="s">
        <v>98</v>
      </c>
      <c r="I9" s="60" t="s">
        <v>99</v>
      </c>
      <c r="J9" t="s">
        <v>90</v>
      </c>
      <c r="L9">
        <v>1</v>
      </c>
      <c r="M9">
        <v>72868</v>
      </c>
      <c r="N9" t="s">
        <v>32</v>
      </c>
      <c r="O9" t="s">
        <v>96</v>
      </c>
      <c r="P9" s="64">
        <v>70</v>
      </c>
      <c r="R9" s="64">
        <f t="shared" si="2"/>
        <v>70</v>
      </c>
      <c r="S9" s="62">
        <v>46100</v>
      </c>
      <c r="T9" s="64">
        <f t="shared" si="3"/>
        <v>10.5</v>
      </c>
      <c r="U9" s="63">
        <v>4</v>
      </c>
      <c r="V9" s="64">
        <f t="shared" si="4"/>
        <v>59.5</v>
      </c>
      <c r="W9" t="s">
        <v>69</v>
      </c>
      <c r="X9" t="s">
        <v>78</v>
      </c>
      <c r="Y9" t="s">
        <v>70</v>
      </c>
      <c r="Z9" t="s">
        <v>72</v>
      </c>
      <c r="AA9" t="s">
        <v>31</v>
      </c>
      <c r="AB9" s="63" t="s">
        <v>97</v>
      </c>
      <c r="AC9" t="s">
        <v>89</v>
      </c>
    </row>
    <row r="10" spans="1:29" x14ac:dyDescent="0.25">
      <c r="A10" t="s">
        <v>83</v>
      </c>
      <c r="B10" s="57">
        <v>46104</v>
      </c>
      <c r="C10" s="56">
        <f t="shared" si="0"/>
        <v>46104</v>
      </c>
      <c r="D10" s="58" t="str">
        <f t="shared" si="1"/>
        <v>Monday</v>
      </c>
      <c r="E10" s="59">
        <v>0.45833333333333331</v>
      </c>
      <c r="F10" s="59">
        <v>0.47916666666666669</v>
      </c>
      <c r="G10" s="59">
        <v>1.7361111111111109E-4</v>
      </c>
      <c r="H10" t="s">
        <v>95</v>
      </c>
      <c r="I10" s="60" t="s">
        <v>99</v>
      </c>
      <c r="J10" t="s">
        <v>90</v>
      </c>
      <c r="L10">
        <v>1</v>
      </c>
      <c r="M10">
        <v>72868</v>
      </c>
      <c r="N10" t="s">
        <v>32</v>
      </c>
      <c r="O10" t="s">
        <v>96</v>
      </c>
      <c r="P10" s="64">
        <v>70</v>
      </c>
      <c r="R10" s="64">
        <f t="shared" si="2"/>
        <v>70</v>
      </c>
      <c r="S10" s="62">
        <v>46104</v>
      </c>
      <c r="T10" s="64">
        <f t="shared" si="3"/>
        <v>10.5</v>
      </c>
      <c r="U10" s="63">
        <v>4</v>
      </c>
      <c r="V10" s="64">
        <f t="shared" si="4"/>
        <v>59.5</v>
      </c>
      <c r="W10" t="s">
        <v>69</v>
      </c>
      <c r="X10" t="s">
        <v>78</v>
      </c>
      <c r="Y10" t="s">
        <v>70</v>
      </c>
      <c r="Z10" t="s">
        <v>72</v>
      </c>
      <c r="AA10" t="s">
        <v>31</v>
      </c>
      <c r="AB10" s="63" t="s">
        <v>97</v>
      </c>
      <c r="AC10" t="s">
        <v>89</v>
      </c>
    </row>
    <row r="11" spans="1:29" x14ac:dyDescent="0.25">
      <c r="A11" t="s">
        <v>83</v>
      </c>
      <c r="B11" s="57">
        <v>46108</v>
      </c>
      <c r="C11" s="56">
        <f t="shared" si="0"/>
        <v>46108</v>
      </c>
      <c r="D11" s="58" t="str">
        <f t="shared" si="1"/>
        <v>Friday</v>
      </c>
      <c r="E11" s="59">
        <v>0.45833333333333331</v>
      </c>
      <c r="F11" s="59">
        <v>0.47916666666666669</v>
      </c>
      <c r="G11" s="59">
        <v>1.7361111111111109E-4</v>
      </c>
      <c r="H11" t="s">
        <v>95</v>
      </c>
      <c r="I11" s="60" t="s">
        <v>99</v>
      </c>
      <c r="J11" t="s">
        <v>90</v>
      </c>
      <c r="L11">
        <v>1</v>
      </c>
      <c r="M11">
        <v>72868</v>
      </c>
      <c r="N11" t="s">
        <v>32</v>
      </c>
      <c r="O11" t="s">
        <v>96</v>
      </c>
      <c r="P11" s="64">
        <v>70</v>
      </c>
      <c r="R11" s="64">
        <f t="shared" si="2"/>
        <v>70</v>
      </c>
      <c r="S11" s="62">
        <v>46108</v>
      </c>
      <c r="T11" s="64">
        <f t="shared" si="3"/>
        <v>10.5</v>
      </c>
      <c r="U11" s="63">
        <v>4</v>
      </c>
      <c r="V11" s="64">
        <f t="shared" si="4"/>
        <v>59.5</v>
      </c>
      <c r="W11" t="s">
        <v>69</v>
      </c>
      <c r="X11" t="s">
        <v>78</v>
      </c>
      <c r="Y11" t="s">
        <v>70</v>
      </c>
      <c r="Z11" t="s">
        <v>72</v>
      </c>
      <c r="AA11" t="s">
        <v>31</v>
      </c>
      <c r="AB11" s="63" t="s">
        <v>97</v>
      </c>
      <c r="AC11" t="s">
        <v>89</v>
      </c>
    </row>
    <row r="12" spans="1:29" x14ac:dyDescent="0.25">
      <c r="A12" t="s">
        <v>83</v>
      </c>
      <c r="B12" s="57">
        <v>46090</v>
      </c>
      <c r="C12" s="56">
        <f t="shared" si="0"/>
        <v>46090</v>
      </c>
      <c r="D12" s="58" t="str">
        <f t="shared" si="1"/>
        <v>Monday</v>
      </c>
      <c r="E12" s="59">
        <v>0.45833333333333331</v>
      </c>
      <c r="F12" s="59">
        <v>0.47916666666666669</v>
      </c>
      <c r="G12" s="59">
        <v>1.7361111111111109E-4</v>
      </c>
      <c r="H12" t="s">
        <v>95</v>
      </c>
      <c r="I12" s="60" t="s">
        <v>100</v>
      </c>
      <c r="J12" t="s">
        <v>90</v>
      </c>
      <c r="L12">
        <v>1</v>
      </c>
      <c r="M12">
        <v>72868</v>
      </c>
      <c r="N12" t="s">
        <v>32</v>
      </c>
      <c r="O12" t="s">
        <v>96</v>
      </c>
      <c r="P12" s="64">
        <v>70</v>
      </c>
      <c r="R12" s="64">
        <f t="shared" si="2"/>
        <v>70</v>
      </c>
      <c r="S12" s="62">
        <v>46090</v>
      </c>
      <c r="T12" s="64">
        <f t="shared" si="3"/>
        <v>10.5</v>
      </c>
      <c r="U12" s="63">
        <v>4</v>
      </c>
      <c r="V12" s="64">
        <f t="shared" si="4"/>
        <v>59.5</v>
      </c>
      <c r="W12" t="s">
        <v>69</v>
      </c>
      <c r="X12" t="s">
        <v>78</v>
      </c>
      <c r="Y12" t="s">
        <v>70</v>
      </c>
      <c r="Z12" t="s">
        <v>72</v>
      </c>
      <c r="AA12" t="s">
        <v>31</v>
      </c>
      <c r="AB12" s="63" t="s">
        <v>97</v>
      </c>
      <c r="AC12" t="s">
        <v>89</v>
      </c>
    </row>
    <row r="13" spans="1:29" x14ac:dyDescent="0.25">
      <c r="A13" t="s">
        <v>83</v>
      </c>
      <c r="B13" s="57">
        <v>46098</v>
      </c>
      <c r="C13" s="56">
        <f t="shared" si="0"/>
        <v>46098</v>
      </c>
      <c r="D13" s="58" t="str">
        <f t="shared" si="1"/>
        <v>Tuesday</v>
      </c>
      <c r="E13" s="59">
        <v>0.45833333333333331</v>
      </c>
      <c r="F13" s="59">
        <v>0.47916666666666669</v>
      </c>
      <c r="G13" s="59">
        <v>1.7361111111111109E-4</v>
      </c>
      <c r="H13" t="s">
        <v>98</v>
      </c>
      <c r="I13" s="60" t="s">
        <v>100</v>
      </c>
      <c r="J13" t="s">
        <v>90</v>
      </c>
      <c r="L13">
        <v>1</v>
      </c>
      <c r="M13">
        <v>72868</v>
      </c>
      <c r="N13" t="s">
        <v>32</v>
      </c>
      <c r="O13" t="s">
        <v>96</v>
      </c>
      <c r="P13" s="64">
        <v>70</v>
      </c>
      <c r="R13" s="64">
        <f t="shared" si="2"/>
        <v>70</v>
      </c>
      <c r="S13" s="62">
        <v>46098</v>
      </c>
      <c r="T13" s="64">
        <f t="shared" si="3"/>
        <v>10.5</v>
      </c>
      <c r="U13" s="63">
        <v>4</v>
      </c>
      <c r="V13" s="64">
        <f t="shared" si="4"/>
        <v>59.5</v>
      </c>
      <c r="W13" t="s">
        <v>69</v>
      </c>
      <c r="X13" t="s">
        <v>78</v>
      </c>
      <c r="Y13" t="s">
        <v>70</v>
      </c>
      <c r="Z13" t="s">
        <v>72</v>
      </c>
      <c r="AA13" t="s">
        <v>31</v>
      </c>
      <c r="AB13" s="63" t="s">
        <v>97</v>
      </c>
      <c r="AC13" t="s">
        <v>89</v>
      </c>
    </row>
    <row r="14" spans="1:29" x14ac:dyDescent="0.25">
      <c r="A14" t="s">
        <v>83</v>
      </c>
      <c r="B14" s="57">
        <v>46101</v>
      </c>
      <c r="C14" s="56">
        <f t="shared" si="0"/>
        <v>46101</v>
      </c>
      <c r="D14" s="58" t="str">
        <f t="shared" si="1"/>
        <v>Friday</v>
      </c>
      <c r="E14" s="59">
        <v>0.45833333333333331</v>
      </c>
      <c r="F14" s="59">
        <v>0.47916666666666669</v>
      </c>
      <c r="G14" s="59">
        <v>1.7361111111111109E-4</v>
      </c>
      <c r="H14" t="s">
        <v>98</v>
      </c>
      <c r="I14" s="60" t="s">
        <v>100</v>
      </c>
      <c r="J14" t="s">
        <v>90</v>
      </c>
      <c r="L14">
        <v>1</v>
      </c>
      <c r="M14">
        <v>72868</v>
      </c>
      <c r="N14" t="s">
        <v>32</v>
      </c>
      <c r="O14" t="s">
        <v>96</v>
      </c>
      <c r="P14" s="64">
        <v>70</v>
      </c>
      <c r="R14" s="64">
        <f t="shared" si="2"/>
        <v>70</v>
      </c>
      <c r="S14" s="62">
        <v>46101</v>
      </c>
      <c r="T14" s="64">
        <f t="shared" si="3"/>
        <v>10.5</v>
      </c>
      <c r="U14" s="63">
        <v>4</v>
      </c>
      <c r="V14" s="64">
        <f t="shared" si="4"/>
        <v>59.5</v>
      </c>
      <c r="W14" t="s">
        <v>69</v>
      </c>
      <c r="X14" t="s">
        <v>78</v>
      </c>
      <c r="Y14" t="s">
        <v>70</v>
      </c>
      <c r="Z14" t="s">
        <v>72</v>
      </c>
      <c r="AA14" t="s">
        <v>31</v>
      </c>
      <c r="AB14" s="63" t="s">
        <v>97</v>
      </c>
      <c r="AC14" t="s">
        <v>89</v>
      </c>
    </row>
    <row r="15" spans="1:29" x14ac:dyDescent="0.25">
      <c r="A15" t="s">
        <v>83</v>
      </c>
      <c r="B15" s="57">
        <v>46105</v>
      </c>
      <c r="C15" s="56">
        <f t="shared" si="0"/>
        <v>46105</v>
      </c>
      <c r="D15" s="58" t="str">
        <f t="shared" si="1"/>
        <v>Tuesday</v>
      </c>
      <c r="E15" s="59">
        <v>0.45833333333333331</v>
      </c>
      <c r="F15" s="59">
        <v>0.47916666666666669</v>
      </c>
      <c r="G15" s="59">
        <v>1.7361111111111109E-4</v>
      </c>
      <c r="H15" t="s">
        <v>95</v>
      </c>
      <c r="I15" s="60" t="s">
        <v>100</v>
      </c>
      <c r="J15" t="s">
        <v>90</v>
      </c>
      <c r="L15">
        <v>1</v>
      </c>
      <c r="M15">
        <v>72868</v>
      </c>
      <c r="N15" t="s">
        <v>32</v>
      </c>
      <c r="O15" t="s">
        <v>96</v>
      </c>
      <c r="P15" s="64">
        <v>70</v>
      </c>
      <c r="R15" s="64">
        <f t="shared" si="2"/>
        <v>70</v>
      </c>
      <c r="S15" s="62">
        <v>46105</v>
      </c>
      <c r="T15" s="64">
        <f t="shared" si="3"/>
        <v>10.5</v>
      </c>
      <c r="U15" s="63">
        <v>4</v>
      </c>
      <c r="V15" s="64">
        <f t="shared" si="4"/>
        <v>59.5</v>
      </c>
      <c r="W15" t="s">
        <v>69</v>
      </c>
      <c r="X15" t="s">
        <v>78</v>
      </c>
      <c r="Y15" t="s">
        <v>70</v>
      </c>
      <c r="Z15" t="s">
        <v>72</v>
      </c>
      <c r="AA15" t="s">
        <v>31</v>
      </c>
      <c r="AB15" s="63" t="s">
        <v>97</v>
      </c>
      <c r="AC15" t="s">
        <v>89</v>
      </c>
    </row>
    <row r="16" spans="1:29" x14ac:dyDescent="0.25">
      <c r="A16" t="s">
        <v>83</v>
      </c>
      <c r="B16" s="57">
        <v>46107</v>
      </c>
      <c r="C16" s="56">
        <f t="shared" si="0"/>
        <v>46107</v>
      </c>
      <c r="D16" s="58" t="str">
        <f t="shared" si="1"/>
        <v>Thursday</v>
      </c>
      <c r="E16" s="59">
        <v>0.45833333333333331</v>
      </c>
      <c r="F16" s="59">
        <v>0.47916666666666669</v>
      </c>
      <c r="G16" s="59">
        <v>1.7361111111111109E-4</v>
      </c>
      <c r="H16" t="s">
        <v>95</v>
      </c>
      <c r="I16" s="60" t="s">
        <v>100</v>
      </c>
      <c r="J16" t="s">
        <v>90</v>
      </c>
      <c r="L16">
        <v>1</v>
      </c>
      <c r="M16">
        <v>72868</v>
      </c>
      <c r="N16" t="s">
        <v>32</v>
      </c>
      <c r="O16" t="s">
        <v>96</v>
      </c>
      <c r="P16" s="64">
        <v>70</v>
      </c>
      <c r="R16" s="64">
        <f t="shared" si="2"/>
        <v>70</v>
      </c>
      <c r="S16" s="62">
        <v>46107</v>
      </c>
      <c r="T16" s="64">
        <f t="shared" si="3"/>
        <v>10.5</v>
      </c>
      <c r="U16" s="63">
        <v>4</v>
      </c>
      <c r="V16" s="64">
        <f t="shared" si="4"/>
        <v>59.5</v>
      </c>
      <c r="W16" t="s">
        <v>69</v>
      </c>
      <c r="X16" t="s">
        <v>78</v>
      </c>
      <c r="Y16" t="s">
        <v>70</v>
      </c>
      <c r="Z16" t="s">
        <v>72</v>
      </c>
      <c r="AA16" t="s">
        <v>31</v>
      </c>
      <c r="AB16" s="63" t="s">
        <v>97</v>
      </c>
      <c r="AC16" t="s">
        <v>89</v>
      </c>
    </row>
    <row r="17" spans="1:29" x14ac:dyDescent="0.25">
      <c r="A17" t="s">
        <v>83</v>
      </c>
      <c r="B17" s="57">
        <v>46092</v>
      </c>
      <c r="C17" s="56">
        <f t="shared" si="0"/>
        <v>46092</v>
      </c>
      <c r="D17" s="58" t="str">
        <f t="shared" si="1"/>
        <v>Wednesday</v>
      </c>
      <c r="E17" s="59">
        <v>0.47916666666666669</v>
      </c>
      <c r="F17" s="59">
        <v>0.5</v>
      </c>
      <c r="G17" s="59">
        <v>1.7361111111111109E-4</v>
      </c>
      <c r="H17" t="s">
        <v>98</v>
      </c>
      <c r="I17" s="60" t="s">
        <v>101</v>
      </c>
      <c r="J17" t="s">
        <v>90</v>
      </c>
      <c r="L17">
        <v>1</v>
      </c>
      <c r="M17">
        <v>72869</v>
      </c>
      <c r="N17" t="s">
        <v>32</v>
      </c>
      <c r="O17" t="s">
        <v>96</v>
      </c>
      <c r="P17" s="64">
        <v>70</v>
      </c>
      <c r="R17" s="64">
        <f t="shared" si="2"/>
        <v>70</v>
      </c>
      <c r="S17" s="62">
        <v>46092</v>
      </c>
      <c r="T17" s="64">
        <f t="shared" si="3"/>
        <v>10.5</v>
      </c>
      <c r="U17" s="63">
        <v>4</v>
      </c>
      <c r="V17" s="64">
        <f t="shared" si="4"/>
        <v>59.5</v>
      </c>
      <c r="W17" t="s">
        <v>69</v>
      </c>
      <c r="X17" t="s">
        <v>78</v>
      </c>
      <c r="Y17" t="s">
        <v>70</v>
      </c>
      <c r="Z17" t="s">
        <v>72</v>
      </c>
      <c r="AA17" t="s">
        <v>31</v>
      </c>
      <c r="AB17" s="63" t="s">
        <v>97</v>
      </c>
      <c r="AC17" t="s">
        <v>89</v>
      </c>
    </row>
    <row r="18" spans="1:29" x14ac:dyDescent="0.25">
      <c r="A18" t="s">
        <v>83</v>
      </c>
      <c r="B18" s="57">
        <v>46099</v>
      </c>
      <c r="C18" s="56">
        <f t="shared" si="0"/>
        <v>46099</v>
      </c>
      <c r="D18" s="58" t="str">
        <f t="shared" si="1"/>
        <v>Wednesday</v>
      </c>
      <c r="E18" s="59">
        <v>0.47916666666666669</v>
      </c>
      <c r="F18" s="59">
        <v>0.5</v>
      </c>
      <c r="G18" s="59">
        <v>1.7361111111111109E-4</v>
      </c>
      <c r="H18" t="s">
        <v>95</v>
      </c>
      <c r="I18" s="60" t="s">
        <v>101</v>
      </c>
      <c r="J18" t="s">
        <v>90</v>
      </c>
      <c r="L18">
        <v>1</v>
      </c>
      <c r="M18">
        <v>72869</v>
      </c>
      <c r="N18" t="s">
        <v>32</v>
      </c>
      <c r="O18" t="s">
        <v>96</v>
      </c>
      <c r="P18" s="64">
        <v>70</v>
      </c>
      <c r="R18" s="64">
        <f t="shared" si="2"/>
        <v>70</v>
      </c>
      <c r="S18" s="62">
        <v>46099</v>
      </c>
      <c r="T18" s="64">
        <f t="shared" si="3"/>
        <v>10.5</v>
      </c>
      <c r="U18" s="63">
        <v>4</v>
      </c>
      <c r="V18" s="64">
        <f t="shared" si="4"/>
        <v>59.5</v>
      </c>
      <c r="W18" t="s">
        <v>69</v>
      </c>
      <c r="X18" t="s">
        <v>78</v>
      </c>
      <c r="Y18" t="s">
        <v>70</v>
      </c>
      <c r="Z18" t="s">
        <v>72</v>
      </c>
      <c r="AA18" t="s">
        <v>31</v>
      </c>
      <c r="AB18" s="63" t="s">
        <v>97</v>
      </c>
      <c r="AC18" t="s">
        <v>89</v>
      </c>
    </row>
    <row r="19" spans="1:29" x14ac:dyDescent="0.25">
      <c r="A19" t="s">
        <v>83</v>
      </c>
      <c r="B19" s="57">
        <v>46106</v>
      </c>
      <c r="C19" s="56">
        <f t="shared" si="0"/>
        <v>46106</v>
      </c>
      <c r="D19" s="58" t="str">
        <f t="shared" si="1"/>
        <v>Wednesday</v>
      </c>
      <c r="E19" s="59">
        <v>0.47916666666666669</v>
      </c>
      <c r="F19" s="59">
        <v>0.5</v>
      </c>
      <c r="G19" s="59">
        <v>1.7361111111111109E-4</v>
      </c>
      <c r="H19" t="s">
        <v>98</v>
      </c>
      <c r="I19" s="60" t="s">
        <v>101</v>
      </c>
      <c r="J19" t="s">
        <v>90</v>
      </c>
      <c r="L19">
        <v>1</v>
      </c>
      <c r="M19">
        <v>72869</v>
      </c>
      <c r="N19" t="s">
        <v>32</v>
      </c>
      <c r="O19" t="s">
        <v>96</v>
      </c>
      <c r="P19" s="64">
        <v>70</v>
      </c>
      <c r="R19" s="64">
        <f t="shared" si="2"/>
        <v>70</v>
      </c>
      <c r="S19" s="62">
        <v>46106</v>
      </c>
      <c r="T19" s="64">
        <f t="shared" si="3"/>
        <v>10.5</v>
      </c>
      <c r="U19" s="63">
        <v>4</v>
      </c>
      <c r="V19" s="64">
        <f t="shared" si="4"/>
        <v>59.5</v>
      </c>
      <c r="W19" t="s">
        <v>69</v>
      </c>
      <c r="X19" t="s">
        <v>78</v>
      </c>
      <c r="Y19" t="s">
        <v>70</v>
      </c>
      <c r="Z19" t="s">
        <v>72</v>
      </c>
      <c r="AA19" t="s">
        <v>31</v>
      </c>
      <c r="AB19" s="63" t="s">
        <v>97</v>
      </c>
      <c r="AC19" t="s">
        <v>89</v>
      </c>
    </row>
    <row r="20" spans="1:29" x14ac:dyDescent="0.25">
      <c r="A20" t="s">
        <v>83</v>
      </c>
      <c r="B20" s="57">
        <v>46091</v>
      </c>
      <c r="C20" s="56">
        <f t="shared" si="0"/>
        <v>46091</v>
      </c>
      <c r="D20" s="58" t="str">
        <f t="shared" si="1"/>
        <v>Tuesday</v>
      </c>
      <c r="E20" s="59">
        <v>0.47916666666666669</v>
      </c>
      <c r="F20" s="59">
        <v>0.5</v>
      </c>
      <c r="G20" s="59">
        <v>1.7361111111111109E-4</v>
      </c>
      <c r="H20" t="s">
        <v>98</v>
      </c>
      <c r="I20" s="60" t="s">
        <v>102</v>
      </c>
      <c r="J20" t="s">
        <v>90</v>
      </c>
      <c r="L20">
        <v>1</v>
      </c>
      <c r="M20">
        <v>72869</v>
      </c>
      <c r="N20" t="s">
        <v>32</v>
      </c>
      <c r="O20" t="s">
        <v>96</v>
      </c>
      <c r="P20" s="64">
        <v>70</v>
      </c>
      <c r="R20" s="64">
        <f t="shared" si="2"/>
        <v>70</v>
      </c>
      <c r="S20" s="62">
        <v>46091</v>
      </c>
      <c r="T20" s="64">
        <f t="shared" si="3"/>
        <v>10.5</v>
      </c>
      <c r="U20" s="63">
        <v>4</v>
      </c>
      <c r="V20" s="64">
        <f t="shared" si="4"/>
        <v>59.5</v>
      </c>
      <c r="W20" t="s">
        <v>69</v>
      </c>
      <c r="X20" t="s">
        <v>78</v>
      </c>
      <c r="Y20" t="s">
        <v>70</v>
      </c>
      <c r="Z20" t="s">
        <v>72</v>
      </c>
      <c r="AA20" t="s">
        <v>31</v>
      </c>
      <c r="AB20" s="63" t="s">
        <v>97</v>
      </c>
      <c r="AC20" t="s">
        <v>89</v>
      </c>
    </row>
    <row r="21" spans="1:29" x14ac:dyDescent="0.25">
      <c r="A21" t="s">
        <v>83</v>
      </c>
      <c r="B21" s="57">
        <v>46098</v>
      </c>
      <c r="C21" s="56">
        <f t="shared" si="0"/>
        <v>46098</v>
      </c>
      <c r="D21" s="58" t="str">
        <f t="shared" si="1"/>
        <v>Tuesday</v>
      </c>
      <c r="E21" s="59">
        <v>0.47916666666666669</v>
      </c>
      <c r="F21" s="59">
        <v>0.5</v>
      </c>
      <c r="G21" s="59">
        <v>1.7361111111111109E-4</v>
      </c>
      <c r="H21" t="s">
        <v>95</v>
      </c>
      <c r="I21" s="60" t="s">
        <v>102</v>
      </c>
      <c r="J21" t="s">
        <v>90</v>
      </c>
      <c r="L21">
        <v>1</v>
      </c>
      <c r="M21">
        <v>72869</v>
      </c>
      <c r="N21" t="s">
        <v>32</v>
      </c>
      <c r="O21" t="s">
        <v>96</v>
      </c>
      <c r="P21" s="64">
        <v>70</v>
      </c>
      <c r="R21" s="64">
        <f t="shared" si="2"/>
        <v>70</v>
      </c>
      <c r="S21" s="62">
        <v>46098</v>
      </c>
      <c r="T21" s="64">
        <f t="shared" si="3"/>
        <v>10.5</v>
      </c>
      <c r="U21" s="63">
        <v>4</v>
      </c>
      <c r="V21" s="64">
        <f t="shared" si="4"/>
        <v>59.5</v>
      </c>
      <c r="W21" t="s">
        <v>69</v>
      </c>
      <c r="X21" t="s">
        <v>78</v>
      </c>
      <c r="Y21" t="s">
        <v>70</v>
      </c>
      <c r="Z21" t="s">
        <v>72</v>
      </c>
      <c r="AA21" t="s">
        <v>31</v>
      </c>
      <c r="AB21" s="63" t="s">
        <v>97</v>
      </c>
      <c r="AC21" t="s">
        <v>89</v>
      </c>
    </row>
    <row r="22" spans="1:29" x14ac:dyDescent="0.25">
      <c r="A22" t="s">
        <v>83</v>
      </c>
      <c r="B22" s="57">
        <v>46105</v>
      </c>
      <c r="C22" s="56">
        <f t="shared" si="0"/>
        <v>46105</v>
      </c>
      <c r="D22" s="58" t="str">
        <f t="shared" si="1"/>
        <v>Tuesday</v>
      </c>
      <c r="E22" s="59">
        <v>0.47916666666666669</v>
      </c>
      <c r="F22" s="59">
        <v>0.5</v>
      </c>
      <c r="G22" s="59">
        <v>1.7361111111111109E-4</v>
      </c>
      <c r="H22" t="s">
        <v>98</v>
      </c>
      <c r="I22" s="60" t="s">
        <v>102</v>
      </c>
      <c r="J22" t="s">
        <v>90</v>
      </c>
      <c r="L22">
        <v>1</v>
      </c>
      <c r="M22">
        <v>72869</v>
      </c>
      <c r="N22" t="s">
        <v>32</v>
      </c>
      <c r="O22" t="s">
        <v>96</v>
      </c>
      <c r="P22" s="64">
        <v>70</v>
      </c>
      <c r="R22" s="64">
        <f t="shared" si="2"/>
        <v>70</v>
      </c>
      <c r="S22" s="62">
        <v>46105</v>
      </c>
      <c r="T22" s="64">
        <f t="shared" si="3"/>
        <v>10.5</v>
      </c>
      <c r="U22" s="63">
        <v>4</v>
      </c>
      <c r="V22" s="64">
        <f t="shared" si="4"/>
        <v>59.5</v>
      </c>
      <c r="W22" t="s">
        <v>69</v>
      </c>
      <c r="X22" t="s">
        <v>78</v>
      </c>
      <c r="Y22" t="s">
        <v>70</v>
      </c>
      <c r="Z22" t="s">
        <v>72</v>
      </c>
      <c r="AA22" t="s">
        <v>31</v>
      </c>
      <c r="AB22" s="63" t="s">
        <v>97</v>
      </c>
      <c r="AC22" t="s">
        <v>89</v>
      </c>
    </row>
    <row r="23" spans="1:29" x14ac:dyDescent="0.25">
      <c r="A23" t="s">
        <v>83</v>
      </c>
      <c r="B23" s="57">
        <v>46093</v>
      </c>
      <c r="C23" s="56">
        <f t="shared" si="0"/>
        <v>46093</v>
      </c>
      <c r="D23" s="58" t="str">
        <f t="shared" si="1"/>
        <v>Thursday</v>
      </c>
      <c r="E23" s="59">
        <v>0.47916666666666669</v>
      </c>
      <c r="F23" s="59">
        <v>0.5</v>
      </c>
      <c r="G23" s="59">
        <v>1.7361111111111109E-4</v>
      </c>
      <c r="H23" t="s">
        <v>98</v>
      </c>
      <c r="I23" s="60" t="s">
        <v>103</v>
      </c>
      <c r="J23" t="s">
        <v>90</v>
      </c>
      <c r="L23">
        <v>1</v>
      </c>
      <c r="M23">
        <v>72869</v>
      </c>
      <c r="N23" t="s">
        <v>32</v>
      </c>
      <c r="O23" t="s">
        <v>96</v>
      </c>
      <c r="P23" s="64">
        <v>70</v>
      </c>
      <c r="R23" s="64">
        <f t="shared" si="2"/>
        <v>70</v>
      </c>
      <c r="S23" s="62">
        <v>46093</v>
      </c>
      <c r="T23" s="64">
        <f t="shared" si="3"/>
        <v>10.5</v>
      </c>
      <c r="U23" s="63">
        <v>4</v>
      </c>
      <c r="V23" s="64">
        <f t="shared" si="4"/>
        <v>59.5</v>
      </c>
      <c r="W23" t="s">
        <v>69</v>
      </c>
      <c r="X23" t="s">
        <v>78</v>
      </c>
      <c r="Y23" t="s">
        <v>70</v>
      </c>
      <c r="Z23" t="s">
        <v>72</v>
      </c>
      <c r="AA23" t="s">
        <v>31</v>
      </c>
      <c r="AB23" s="63" t="s">
        <v>97</v>
      </c>
      <c r="AC23" t="s">
        <v>89</v>
      </c>
    </row>
    <row r="24" spans="1:29" x14ac:dyDescent="0.25">
      <c r="A24" t="s">
        <v>83</v>
      </c>
      <c r="B24" s="57">
        <v>46100</v>
      </c>
      <c r="C24" s="56">
        <f t="shared" si="0"/>
        <v>46100</v>
      </c>
      <c r="D24" s="58" t="str">
        <f t="shared" si="1"/>
        <v>Thursday</v>
      </c>
      <c r="E24" s="59">
        <v>0.47916666666666669</v>
      </c>
      <c r="F24" s="59">
        <v>0.5</v>
      </c>
      <c r="G24" s="59">
        <v>1.7361111111111109E-4</v>
      </c>
      <c r="H24" t="s">
        <v>95</v>
      </c>
      <c r="I24" s="60" t="s">
        <v>103</v>
      </c>
      <c r="J24" t="s">
        <v>90</v>
      </c>
      <c r="L24">
        <v>1</v>
      </c>
      <c r="M24">
        <v>72869</v>
      </c>
      <c r="N24" t="s">
        <v>32</v>
      </c>
      <c r="O24" t="s">
        <v>96</v>
      </c>
      <c r="P24" s="64">
        <v>70</v>
      </c>
      <c r="R24" s="64">
        <f t="shared" si="2"/>
        <v>70</v>
      </c>
      <c r="S24" s="62">
        <v>46100</v>
      </c>
      <c r="T24" s="64">
        <f t="shared" si="3"/>
        <v>10.5</v>
      </c>
      <c r="U24" s="63">
        <v>4</v>
      </c>
      <c r="V24" s="64">
        <f t="shared" si="4"/>
        <v>59.5</v>
      </c>
      <c r="W24" t="s">
        <v>69</v>
      </c>
      <c r="X24" t="s">
        <v>78</v>
      </c>
      <c r="Y24" t="s">
        <v>70</v>
      </c>
      <c r="Z24" t="s">
        <v>72</v>
      </c>
      <c r="AA24" t="s">
        <v>31</v>
      </c>
      <c r="AB24" s="63" t="s">
        <v>97</v>
      </c>
      <c r="AC24" t="s">
        <v>89</v>
      </c>
    </row>
    <row r="25" spans="1:29" x14ac:dyDescent="0.25">
      <c r="A25" t="s">
        <v>83</v>
      </c>
      <c r="B25" s="57">
        <v>46090</v>
      </c>
      <c r="C25" s="56">
        <f t="shared" si="0"/>
        <v>46090</v>
      </c>
      <c r="D25" s="58" t="str">
        <f t="shared" si="1"/>
        <v>Monday</v>
      </c>
      <c r="E25" s="59">
        <v>0.47916666666666669</v>
      </c>
      <c r="F25" s="59">
        <v>0.5</v>
      </c>
      <c r="G25" s="59">
        <v>1.7361111111111109E-4</v>
      </c>
      <c r="H25" t="s">
        <v>98</v>
      </c>
      <c r="I25" s="60" t="s">
        <v>104</v>
      </c>
      <c r="J25" t="s">
        <v>90</v>
      </c>
      <c r="L25">
        <v>1</v>
      </c>
      <c r="M25">
        <v>72869</v>
      </c>
      <c r="N25" t="s">
        <v>32</v>
      </c>
      <c r="O25" t="s">
        <v>96</v>
      </c>
      <c r="P25" s="64">
        <v>70</v>
      </c>
      <c r="R25" s="64">
        <f t="shared" si="2"/>
        <v>70</v>
      </c>
      <c r="S25" s="62">
        <v>46090</v>
      </c>
      <c r="T25" s="64">
        <f t="shared" si="3"/>
        <v>10.5</v>
      </c>
      <c r="U25" s="63">
        <v>4</v>
      </c>
      <c r="V25" s="64">
        <f t="shared" si="4"/>
        <v>59.5</v>
      </c>
      <c r="W25" t="s">
        <v>69</v>
      </c>
      <c r="X25" t="s">
        <v>78</v>
      </c>
      <c r="Y25" t="s">
        <v>70</v>
      </c>
      <c r="Z25" t="s">
        <v>72</v>
      </c>
      <c r="AA25" t="s">
        <v>31</v>
      </c>
      <c r="AB25" s="63" t="s">
        <v>97</v>
      </c>
      <c r="AC25" t="s">
        <v>89</v>
      </c>
    </row>
    <row r="26" spans="1:29" x14ac:dyDescent="0.25">
      <c r="A26" t="s">
        <v>83</v>
      </c>
      <c r="B26" s="57">
        <v>46097</v>
      </c>
      <c r="C26" s="56">
        <f t="shared" si="0"/>
        <v>46097</v>
      </c>
      <c r="D26" s="58" t="str">
        <f t="shared" si="1"/>
        <v>Monday</v>
      </c>
      <c r="E26" s="59">
        <v>0.47916666666666669</v>
      </c>
      <c r="F26" s="59">
        <v>0.5</v>
      </c>
      <c r="G26" s="59">
        <v>1.7361111111111109E-4</v>
      </c>
      <c r="H26" t="s">
        <v>95</v>
      </c>
      <c r="I26" s="60" t="s">
        <v>104</v>
      </c>
      <c r="J26" t="s">
        <v>90</v>
      </c>
      <c r="L26">
        <v>1</v>
      </c>
      <c r="M26">
        <v>72869</v>
      </c>
      <c r="N26" t="s">
        <v>32</v>
      </c>
      <c r="O26" t="s">
        <v>96</v>
      </c>
      <c r="P26" s="64">
        <v>70</v>
      </c>
      <c r="R26" s="64">
        <f t="shared" si="2"/>
        <v>70</v>
      </c>
      <c r="S26" s="62">
        <v>46097</v>
      </c>
      <c r="T26" s="64">
        <f t="shared" si="3"/>
        <v>10.5</v>
      </c>
      <c r="U26" s="63">
        <v>4</v>
      </c>
      <c r="V26" s="64">
        <f t="shared" si="4"/>
        <v>59.5</v>
      </c>
      <c r="W26" t="s">
        <v>69</v>
      </c>
      <c r="X26" t="s">
        <v>78</v>
      </c>
      <c r="Y26" t="s">
        <v>70</v>
      </c>
      <c r="Z26" t="s">
        <v>72</v>
      </c>
      <c r="AA26" t="s">
        <v>31</v>
      </c>
      <c r="AB26" s="63" t="s">
        <v>97</v>
      </c>
      <c r="AC26" t="s">
        <v>89</v>
      </c>
    </row>
    <row r="27" spans="1:29" x14ac:dyDescent="0.25">
      <c r="A27" t="s">
        <v>83</v>
      </c>
      <c r="B27" s="57">
        <v>46104</v>
      </c>
      <c r="C27" s="56">
        <f t="shared" si="0"/>
        <v>46104</v>
      </c>
      <c r="D27" s="58" t="str">
        <f t="shared" si="1"/>
        <v>Monday</v>
      </c>
      <c r="E27" s="59">
        <v>0.47916666666666669</v>
      </c>
      <c r="F27" s="59">
        <v>0.5</v>
      </c>
      <c r="G27" s="59">
        <v>1.7361111111111109E-4</v>
      </c>
      <c r="H27" t="s">
        <v>98</v>
      </c>
      <c r="I27" s="60" t="s">
        <v>104</v>
      </c>
      <c r="J27" t="s">
        <v>90</v>
      </c>
      <c r="L27">
        <v>1</v>
      </c>
      <c r="M27">
        <v>72869</v>
      </c>
      <c r="N27" t="s">
        <v>32</v>
      </c>
      <c r="O27" t="s">
        <v>96</v>
      </c>
      <c r="P27" s="64">
        <v>70</v>
      </c>
      <c r="R27" s="64">
        <f t="shared" si="2"/>
        <v>70</v>
      </c>
      <c r="S27" s="62">
        <v>46104</v>
      </c>
      <c r="T27" s="64">
        <f t="shared" si="3"/>
        <v>10.5</v>
      </c>
      <c r="U27" s="63">
        <v>4</v>
      </c>
      <c r="V27" s="64">
        <f t="shared" si="4"/>
        <v>59.5</v>
      </c>
      <c r="W27" t="s">
        <v>69</v>
      </c>
      <c r="X27" t="s">
        <v>78</v>
      </c>
      <c r="Y27" t="s">
        <v>70</v>
      </c>
      <c r="Z27" t="s">
        <v>72</v>
      </c>
      <c r="AA27" t="s">
        <v>31</v>
      </c>
      <c r="AB27" s="63" t="s">
        <v>97</v>
      </c>
      <c r="AC27" t="s">
        <v>89</v>
      </c>
    </row>
    <row r="28" spans="1:29" x14ac:dyDescent="0.25">
      <c r="A28" t="s">
        <v>83</v>
      </c>
      <c r="B28" s="57">
        <v>46107</v>
      </c>
      <c r="C28" s="56">
        <f t="shared" si="0"/>
        <v>46107</v>
      </c>
      <c r="D28" s="58" t="str">
        <f t="shared" si="1"/>
        <v>Thursday</v>
      </c>
      <c r="E28" s="59">
        <v>0.47916666666666669</v>
      </c>
      <c r="F28" s="59">
        <v>0.5</v>
      </c>
      <c r="G28" s="59">
        <v>1.7361111111111109E-4</v>
      </c>
      <c r="H28" t="s">
        <v>98</v>
      </c>
      <c r="I28" s="60" t="s">
        <v>105</v>
      </c>
      <c r="J28" t="s">
        <v>90</v>
      </c>
      <c r="L28">
        <v>1</v>
      </c>
      <c r="M28">
        <v>72869</v>
      </c>
      <c r="N28" t="s">
        <v>32</v>
      </c>
      <c r="O28" t="s">
        <v>96</v>
      </c>
      <c r="P28" s="64">
        <v>70</v>
      </c>
      <c r="R28" s="64">
        <f t="shared" si="2"/>
        <v>70</v>
      </c>
      <c r="S28" s="62">
        <v>46107</v>
      </c>
      <c r="T28" s="64">
        <f t="shared" si="3"/>
        <v>10.5</v>
      </c>
      <c r="U28" s="63">
        <v>4</v>
      </c>
      <c r="V28" s="64">
        <f t="shared" si="4"/>
        <v>59.5</v>
      </c>
      <c r="W28" t="s">
        <v>69</v>
      </c>
      <c r="X28" t="s">
        <v>78</v>
      </c>
      <c r="Y28" t="s">
        <v>70</v>
      </c>
      <c r="Z28" t="s">
        <v>72</v>
      </c>
      <c r="AA28" t="s">
        <v>31</v>
      </c>
      <c r="AB28" s="63" t="s">
        <v>97</v>
      </c>
      <c r="AC28" t="s">
        <v>89</v>
      </c>
    </row>
    <row r="29" spans="1:29" x14ac:dyDescent="0.25">
      <c r="A29" t="s">
        <v>83</v>
      </c>
      <c r="B29" s="57">
        <v>46094</v>
      </c>
      <c r="C29" s="56">
        <f t="shared" si="0"/>
        <v>46094</v>
      </c>
      <c r="D29" s="58" t="str">
        <f t="shared" si="1"/>
        <v>Friday</v>
      </c>
      <c r="E29" s="59">
        <v>0.47916666666666669</v>
      </c>
      <c r="F29" s="59">
        <v>0.5</v>
      </c>
      <c r="G29" s="59">
        <v>1.7361111111111109E-4</v>
      </c>
      <c r="H29" t="s">
        <v>98</v>
      </c>
      <c r="I29" s="60" t="s">
        <v>106</v>
      </c>
      <c r="J29" t="s">
        <v>90</v>
      </c>
      <c r="L29">
        <v>1</v>
      </c>
      <c r="M29">
        <v>72869</v>
      </c>
      <c r="N29" t="s">
        <v>32</v>
      </c>
      <c r="O29" t="s">
        <v>96</v>
      </c>
      <c r="P29" s="64">
        <v>70</v>
      </c>
      <c r="R29" s="64">
        <f t="shared" si="2"/>
        <v>70</v>
      </c>
      <c r="S29" s="62">
        <v>46094</v>
      </c>
      <c r="T29" s="64">
        <f t="shared" si="3"/>
        <v>10.5</v>
      </c>
      <c r="U29" s="63">
        <v>4</v>
      </c>
      <c r="V29" s="64">
        <f t="shared" si="4"/>
        <v>59.5</v>
      </c>
      <c r="W29" t="s">
        <v>69</v>
      </c>
      <c r="X29" t="s">
        <v>78</v>
      </c>
      <c r="Y29" t="s">
        <v>70</v>
      </c>
      <c r="Z29" t="s">
        <v>72</v>
      </c>
      <c r="AA29" t="s">
        <v>31</v>
      </c>
      <c r="AB29" s="63" t="s">
        <v>97</v>
      </c>
      <c r="AC29" t="s">
        <v>89</v>
      </c>
    </row>
    <row r="30" spans="1:29" x14ac:dyDescent="0.25">
      <c r="A30" t="s">
        <v>83</v>
      </c>
      <c r="B30" s="57">
        <v>46101</v>
      </c>
      <c r="C30" s="56">
        <f t="shared" si="0"/>
        <v>46101</v>
      </c>
      <c r="D30" s="58" t="str">
        <f t="shared" si="1"/>
        <v>Friday</v>
      </c>
      <c r="E30" s="59">
        <v>0.47916666666666669</v>
      </c>
      <c r="F30" s="59">
        <v>0.5</v>
      </c>
      <c r="G30" s="59">
        <v>1.7361111111111109E-4</v>
      </c>
      <c r="H30" t="s">
        <v>95</v>
      </c>
      <c r="I30" s="60" t="s">
        <v>106</v>
      </c>
      <c r="J30" t="s">
        <v>90</v>
      </c>
      <c r="L30">
        <v>1</v>
      </c>
      <c r="M30">
        <v>72869</v>
      </c>
      <c r="N30" t="s">
        <v>32</v>
      </c>
      <c r="O30" t="s">
        <v>96</v>
      </c>
      <c r="P30" s="64">
        <v>70</v>
      </c>
      <c r="R30" s="64">
        <f t="shared" si="2"/>
        <v>70</v>
      </c>
      <c r="S30" s="62">
        <v>46101</v>
      </c>
      <c r="T30" s="64">
        <f t="shared" si="3"/>
        <v>10.5</v>
      </c>
      <c r="U30" s="63">
        <v>4</v>
      </c>
      <c r="V30" s="64">
        <f t="shared" si="4"/>
        <v>59.5</v>
      </c>
      <c r="W30" t="s">
        <v>69</v>
      </c>
      <c r="X30" t="s">
        <v>78</v>
      </c>
      <c r="Y30" t="s">
        <v>70</v>
      </c>
      <c r="Z30" t="s">
        <v>72</v>
      </c>
      <c r="AA30" t="s">
        <v>31</v>
      </c>
      <c r="AB30" s="63" t="s">
        <v>97</v>
      </c>
      <c r="AC30" t="s">
        <v>89</v>
      </c>
    </row>
    <row r="31" spans="1:29" x14ac:dyDescent="0.25">
      <c r="A31" t="s">
        <v>83</v>
      </c>
      <c r="B31" s="57">
        <v>46108</v>
      </c>
      <c r="C31" s="56">
        <f t="shared" si="0"/>
        <v>46108</v>
      </c>
      <c r="D31" s="58" t="str">
        <f t="shared" si="1"/>
        <v>Friday</v>
      </c>
      <c r="E31" s="59">
        <v>0.47916666666666669</v>
      </c>
      <c r="F31" s="59">
        <v>0.5</v>
      </c>
      <c r="G31" s="59">
        <v>1.7361111111111109E-4</v>
      </c>
      <c r="H31" t="s">
        <v>98</v>
      </c>
      <c r="I31" s="60" t="s">
        <v>106</v>
      </c>
      <c r="J31" t="s">
        <v>90</v>
      </c>
      <c r="L31">
        <v>1</v>
      </c>
      <c r="M31">
        <v>72869</v>
      </c>
      <c r="N31" t="s">
        <v>32</v>
      </c>
      <c r="O31" t="s">
        <v>96</v>
      </c>
      <c r="P31" s="64">
        <v>70</v>
      </c>
      <c r="R31" s="64">
        <f t="shared" si="2"/>
        <v>70</v>
      </c>
      <c r="S31" s="62">
        <v>46108</v>
      </c>
      <c r="T31" s="64">
        <f t="shared" si="3"/>
        <v>10.5</v>
      </c>
      <c r="U31" s="63">
        <v>4</v>
      </c>
      <c r="V31" s="64">
        <f t="shared" si="4"/>
        <v>59.5</v>
      </c>
      <c r="W31" t="s">
        <v>69</v>
      </c>
      <c r="X31" t="s">
        <v>78</v>
      </c>
      <c r="Y31" t="s">
        <v>70</v>
      </c>
      <c r="Z31" t="s">
        <v>72</v>
      </c>
      <c r="AA31" t="s">
        <v>31</v>
      </c>
      <c r="AB31" s="63" t="s">
        <v>97</v>
      </c>
      <c r="AC31" t="s">
        <v>89</v>
      </c>
    </row>
    <row r="32" spans="1:29" x14ac:dyDescent="0.25">
      <c r="A32" t="s">
        <v>83</v>
      </c>
      <c r="B32" s="57">
        <v>46095</v>
      </c>
      <c r="C32" s="56">
        <f t="shared" si="0"/>
        <v>46095</v>
      </c>
      <c r="D32" s="58" t="str">
        <f t="shared" si="1"/>
        <v>Saturday</v>
      </c>
      <c r="E32" s="59">
        <v>0.45833333333333331</v>
      </c>
      <c r="F32" s="59">
        <v>0.5</v>
      </c>
      <c r="G32" s="59">
        <v>1.7361111111111109E-4</v>
      </c>
      <c r="H32" t="s">
        <v>95</v>
      </c>
      <c r="I32" s="60" t="s">
        <v>87</v>
      </c>
      <c r="J32" t="s">
        <v>90</v>
      </c>
      <c r="L32">
        <v>1</v>
      </c>
      <c r="M32">
        <v>72870</v>
      </c>
      <c r="N32" t="s">
        <v>32</v>
      </c>
      <c r="O32" t="s">
        <v>96</v>
      </c>
      <c r="P32" s="64">
        <v>70</v>
      </c>
      <c r="R32" s="64">
        <f t="shared" si="2"/>
        <v>70</v>
      </c>
      <c r="S32" s="62">
        <v>46095</v>
      </c>
      <c r="T32" s="64">
        <f t="shared" si="3"/>
        <v>10.5</v>
      </c>
      <c r="U32" s="63">
        <v>4</v>
      </c>
      <c r="V32" s="64">
        <f t="shared" si="4"/>
        <v>59.5</v>
      </c>
      <c r="W32" t="s">
        <v>69</v>
      </c>
      <c r="X32" t="s">
        <v>78</v>
      </c>
      <c r="Y32" t="s">
        <v>70</v>
      </c>
      <c r="Z32" t="s">
        <v>72</v>
      </c>
      <c r="AA32" t="s">
        <v>31</v>
      </c>
      <c r="AB32" s="63" t="s">
        <v>97</v>
      </c>
      <c r="AC32" t="s">
        <v>89</v>
      </c>
    </row>
    <row r="33" spans="1:29" x14ac:dyDescent="0.25">
      <c r="A33" t="s">
        <v>83</v>
      </c>
      <c r="B33" s="57">
        <v>46096</v>
      </c>
      <c r="C33" s="56">
        <f t="shared" si="0"/>
        <v>46096</v>
      </c>
      <c r="D33" s="58" t="str">
        <f t="shared" si="1"/>
        <v>Sunday</v>
      </c>
      <c r="E33" s="59">
        <v>0.45833333333333331</v>
      </c>
      <c r="F33" s="59">
        <v>0.5</v>
      </c>
      <c r="G33" s="59">
        <v>1.7361111111111109E-4</v>
      </c>
      <c r="H33" t="s">
        <v>95</v>
      </c>
      <c r="I33" s="60" t="s">
        <v>87</v>
      </c>
      <c r="J33" t="s">
        <v>90</v>
      </c>
      <c r="L33">
        <v>1</v>
      </c>
      <c r="M33">
        <v>72870</v>
      </c>
      <c r="N33" t="s">
        <v>32</v>
      </c>
      <c r="O33" t="s">
        <v>96</v>
      </c>
      <c r="P33" s="64">
        <v>70</v>
      </c>
      <c r="R33" s="64">
        <f t="shared" si="2"/>
        <v>70</v>
      </c>
      <c r="S33" s="62">
        <v>46096</v>
      </c>
      <c r="T33" s="64">
        <f t="shared" si="3"/>
        <v>10.5</v>
      </c>
      <c r="U33" s="63">
        <v>4</v>
      </c>
      <c r="V33" s="64">
        <f t="shared" si="4"/>
        <v>59.5</v>
      </c>
      <c r="W33" t="s">
        <v>69</v>
      </c>
      <c r="X33" t="s">
        <v>78</v>
      </c>
      <c r="Y33" t="s">
        <v>70</v>
      </c>
      <c r="Z33" t="s">
        <v>72</v>
      </c>
      <c r="AA33" t="s">
        <v>31</v>
      </c>
      <c r="AB33" s="63" t="s">
        <v>97</v>
      </c>
      <c r="AC33" t="s">
        <v>89</v>
      </c>
    </row>
    <row r="34" spans="1:29" x14ac:dyDescent="0.25">
      <c r="A34" t="s">
        <v>83</v>
      </c>
      <c r="B34" s="57">
        <v>46102</v>
      </c>
      <c r="C34" s="56">
        <f t="shared" si="0"/>
        <v>46102</v>
      </c>
      <c r="D34" s="58" t="str">
        <f t="shared" si="1"/>
        <v>Saturday</v>
      </c>
      <c r="E34" s="59">
        <v>0.45833333333333331</v>
      </c>
      <c r="F34" s="59">
        <v>0.5</v>
      </c>
      <c r="G34" s="59">
        <v>1.7361111111111109E-4</v>
      </c>
      <c r="H34" t="s">
        <v>98</v>
      </c>
      <c r="I34" s="60" t="s">
        <v>99</v>
      </c>
      <c r="J34" t="s">
        <v>90</v>
      </c>
      <c r="L34">
        <v>1</v>
      </c>
      <c r="M34">
        <v>72870</v>
      </c>
      <c r="N34" t="s">
        <v>32</v>
      </c>
      <c r="O34" t="s">
        <v>96</v>
      </c>
      <c r="P34" s="64">
        <v>70</v>
      </c>
      <c r="R34" s="64">
        <f t="shared" si="2"/>
        <v>70</v>
      </c>
      <c r="S34" s="62">
        <v>46102</v>
      </c>
      <c r="T34" s="64">
        <f t="shared" si="3"/>
        <v>10.5</v>
      </c>
      <c r="U34" s="63">
        <v>4</v>
      </c>
      <c r="V34" s="64">
        <f t="shared" si="4"/>
        <v>59.5</v>
      </c>
      <c r="W34" t="s">
        <v>69</v>
      </c>
      <c r="X34" t="s">
        <v>78</v>
      </c>
      <c r="Y34" t="s">
        <v>70</v>
      </c>
      <c r="Z34" t="s">
        <v>72</v>
      </c>
      <c r="AA34" t="s">
        <v>31</v>
      </c>
      <c r="AB34" s="63" t="s">
        <v>97</v>
      </c>
      <c r="AC34" t="s">
        <v>89</v>
      </c>
    </row>
    <row r="35" spans="1:29" x14ac:dyDescent="0.25">
      <c r="A35" t="s">
        <v>83</v>
      </c>
      <c r="B35" s="57">
        <v>46096</v>
      </c>
      <c r="C35" s="56">
        <f t="shared" si="0"/>
        <v>46096</v>
      </c>
      <c r="D35" s="58" t="str">
        <f t="shared" si="1"/>
        <v>Sunday</v>
      </c>
      <c r="E35" s="59">
        <v>0.45833333333333331</v>
      </c>
      <c r="F35" s="59">
        <v>0.5</v>
      </c>
      <c r="G35" s="59">
        <v>1.7361111111111109E-4</v>
      </c>
      <c r="H35" t="s">
        <v>95</v>
      </c>
      <c r="I35" s="60" t="s">
        <v>100</v>
      </c>
      <c r="J35" t="s">
        <v>90</v>
      </c>
      <c r="L35">
        <v>1</v>
      </c>
      <c r="M35">
        <v>72870</v>
      </c>
      <c r="N35" t="s">
        <v>32</v>
      </c>
      <c r="O35" t="s">
        <v>96</v>
      </c>
      <c r="P35" s="64">
        <v>70</v>
      </c>
      <c r="R35" s="64">
        <f t="shared" si="2"/>
        <v>70</v>
      </c>
      <c r="S35" s="62">
        <v>46096</v>
      </c>
      <c r="T35" s="64">
        <f t="shared" si="3"/>
        <v>10.5</v>
      </c>
      <c r="U35" s="63">
        <v>4</v>
      </c>
      <c r="V35" s="64">
        <f t="shared" si="4"/>
        <v>59.5</v>
      </c>
      <c r="W35" t="s">
        <v>69</v>
      </c>
      <c r="X35" t="s">
        <v>78</v>
      </c>
      <c r="Y35" t="s">
        <v>70</v>
      </c>
      <c r="Z35" t="s">
        <v>72</v>
      </c>
      <c r="AA35" t="s">
        <v>31</v>
      </c>
      <c r="AB35" s="63" t="s">
        <v>97</v>
      </c>
      <c r="AC35" t="s">
        <v>89</v>
      </c>
    </row>
    <row r="36" spans="1:29" x14ac:dyDescent="0.25">
      <c r="A36" t="s">
        <v>83</v>
      </c>
      <c r="B36" s="57">
        <v>46102</v>
      </c>
      <c r="C36" s="56">
        <f t="shared" si="0"/>
        <v>46102</v>
      </c>
      <c r="D36" s="58" t="str">
        <f t="shared" si="1"/>
        <v>Saturday</v>
      </c>
      <c r="E36" s="59">
        <v>0.45833333333333331</v>
      </c>
      <c r="F36" s="59">
        <v>0.5</v>
      </c>
      <c r="G36" s="59">
        <v>1.7361111111111109E-4</v>
      </c>
      <c r="H36" t="s">
        <v>98</v>
      </c>
      <c r="I36" s="60" t="s">
        <v>100</v>
      </c>
      <c r="J36" t="s">
        <v>90</v>
      </c>
      <c r="L36">
        <v>1</v>
      </c>
      <c r="M36">
        <v>72870</v>
      </c>
      <c r="N36" t="s">
        <v>32</v>
      </c>
      <c r="O36" t="s">
        <v>96</v>
      </c>
      <c r="P36" s="64">
        <v>70</v>
      </c>
      <c r="R36" s="64">
        <f t="shared" si="2"/>
        <v>70</v>
      </c>
      <c r="S36" s="62">
        <v>46102</v>
      </c>
      <c r="T36" s="64">
        <f t="shared" si="3"/>
        <v>10.5</v>
      </c>
      <c r="U36" s="63">
        <v>4</v>
      </c>
      <c r="V36" s="64">
        <f t="shared" si="4"/>
        <v>59.5</v>
      </c>
      <c r="W36" t="s">
        <v>69</v>
      </c>
      <c r="X36" t="s">
        <v>78</v>
      </c>
      <c r="Y36" t="s">
        <v>70</v>
      </c>
      <c r="Z36" t="s">
        <v>72</v>
      </c>
      <c r="AA36" t="s">
        <v>31</v>
      </c>
      <c r="AB36" s="63" t="s">
        <v>97</v>
      </c>
      <c r="AC36" t="s">
        <v>89</v>
      </c>
    </row>
    <row r="37" spans="1:29" x14ac:dyDescent="0.25">
      <c r="A37" t="s">
        <v>83</v>
      </c>
      <c r="B37" s="57">
        <v>46110</v>
      </c>
      <c r="C37" s="56">
        <f t="shared" si="0"/>
        <v>46110</v>
      </c>
      <c r="D37" s="58" t="str">
        <f t="shared" si="1"/>
        <v>Sunday</v>
      </c>
      <c r="E37" s="59">
        <v>0.45833333333333331</v>
      </c>
      <c r="F37" s="59">
        <v>0.5</v>
      </c>
      <c r="G37" s="59">
        <v>1.7361111111111109E-4</v>
      </c>
      <c r="H37" t="s">
        <v>95</v>
      </c>
      <c r="I37" s="60" t="s">
        <v>107</v>
      </c>
      <c r="J37" t="s">
        <v>90</v>
      </c>
      <c r="L37">
        <v>1</v>
      </c>
      <c r="M37">
        <v>72870</v>
      </c>
      <c r="N37" t="s">
        <v>32</v>
      </c>
      <c r="O37" t="s">
        <v>96</v>
      </c>
      <c r="P37" s="64">
        <v>70</v>
      </c>
      <c r="R37" s="64">
        <f t="shared" si="2"/>
        <v>70</v>
      </c>
      <c r="S37" s="62">
        <v>46110</v>
      </c>
      <c r="T37" s="64">
        <f t="shared" si="3"/>
        <v>10.5</v>
      </c>
      <c r="U37" s="63">
        <v>4</v>
      </c>
      <c r="V37" s="64">
        <f t="shared" si="4"/>
        <v>59.5</v>
      </c>
      <c r="W37" t="s">
        <v>69</v>
      </c>
      <c r="X37" t="s">
        <v>78</v>
      </c>
      <c r="Y37" t="s">
        <v>70</v>
      </c>
      <c r="Z37" t="s">
        <v>72</v>
      </c>
      <c r="AA37" t="s">
        <v>31</v>
      </c>
      <c r="AB37" s="63" t="s">
        <v>97</v>
      </c>
      <c r="AC37" t="s">
        <v>89</v>
      </c>
    </row>
    <row r="38" spans="1:29" x14ac:dyDescent="0.25">
      <c r="A38" t="s">
        <v>83</v>
      </c>
      <c r="B38" s="57">
        <v>46103</v>
      </c>
      <c r="C38" s="56">
        <f t="shared" si="0"/>
        <v>46103</v>
      </c>
      <c r="D38" s="58" t="str">
        <f t="shared" si="1"/>
        <v>Sunday</v>
      </c>
      <c r="E38" s="59">
        <v>0.45833333333333331</v>
      </c>
      <c r="F38" s="59">
        <v>0.5</v>
      </c>
      <c r="G38" s="59">
        <v>1.7361111111111109E-4</v>
      </c>
      <c r="H38" t="s">
        <v>98</v>
      </c>
      <c r="I38" s="60" t="s">
        <v>108</v>
      </c>
      <c r="J38" t="s">
        <v>90</v>
      </c>
      <c r="L38">
        <v>1</v>
      </c>
      <c r="M38">
        <v>72870</v>
      </c>
      <c r="N38" t="s">
        <v>32</v>
      </c>
      <c r="O38" t="s">
        <v>96</v>
      </c>
      <c r="P38" s="64">
        <v>70</v>
      </c>
      <c r="R38" s="64">
        <f t="shared" si="2"/>
        <v>70</v>
      </c>
      <c r="S38" s="62">
        <v>46103</v>
      </c>
      <c r="T38" s="64">
        <f t="shared" si="3"/>
        <v>10.5</v>
      </c>
      <c r="U38" s="63">
        <v>4</v>
      </c>
      <c r="V38" s="64">
        <f t="shared" si="4"/>
        <v>59.5</v>
      </c>
      <c r="W38" t="s">
        <v>69</v>
      </c>
      <c r="X38" t="s">
        <v>78</v>
      </c>
      <c r="Y38" t="s">
        <v>70</v>
      </c>
      <c r="Z38" t="s">
        <v>72</v>
      </c>
      <c r="AA38" t="s">
        <v>31</v>
      </c>
      <c r="AB38" s="63" t="s">
        <v>97</v>
      </c>
      <c r="AC38" t="s">
        <v>89</v>
      </c>
    </row>
    <row r="39" spans="1:29" x14ac:dyDescent="0.25">
      <c r="A39" t="s">
        <v>83</v>
      </c>
      <c r="B39" s="57">
        <v>46109</v>
      </c>
      <c r="C39" s="56">
        <f t="shared" si="0"/>
        <v>46109</v>
      </c>
      <c r="D39" s="58" t="str">
        <f t="shared" si="1"/>
        <v>Saturday</v>
      </c>
      <c r="E39" s="59">
        <v>0.45833333333333331</v>
      </c>
      <c r="F39" s="59">
        <v>0.5</v>
      </c>
      <c r="G39" s="59">
        <v>1.7361111111111109E-4</v>
      </c>
      <c r="H39" t="s">
        <v>95</v>
      </c>
      <c r="I39" s="60" t="s">
        <v>108</v>
      </c>
      <c r="J39" t="s">
        <v>90</v>
      </c>
      <c r="L39">
        <v>1</v>
      </c>
      <c r="M39">
        <v>72870</v>
      </c>
      <c r="N39" t="s">
        <v>32</v>
      </c>
      <c r="O39" t="s">
        <v>96</v>
      </c>
      <c r="P39" s="64">
        <v>70</v>
      </c>
      <c r="R39" s="64">
        <f t="shared" si="2"/>
        <v>70</v>
      </c>
      <c r="S39" s="62">
        <v>46109</v>
      </c>
      <c r="T39" s="64">
        <f t="shared" si="3"/>
        <v>10.5</v>
      </c>
      <c r="U39" s="63">
        <v>4</v>
      </c>
      <c r="V39" s="64">
        <f t="shared" si="4"/>
        <v>59.5</v>
      </c>
      <c r="W39" t="s">
        <v>69</v>
      </c>
      <c r="X39" t="s">
        <v>78</v>
      </c>
      <c r="Y39" t="s">
        <v>70</v>
      </c>
      <c r="Z39" t="s">
        <v>72</v>
      </c>
      <c r="AA39" t="s">
        <v>31</v>
      </c>
      <c r="AB39" s="63" t="s">
        <v>97</v>
      </c>
      <c r="AC39" t="s">
        <v>89</v>
      </c>
    </row>
    <row r="40" spans="1:29" x14ac:dyDescent="0.25">
      <c r="A40" t="s">
        <v>83</v>
      </c>
      <c r="B40" s="57">
        <v>46095</v>
      </c>
      <c r="C40" s="56">
        <f t="shared" si="0"/>
        <v>46095</v>
      </c>
      <c r="D40" s="58" t="str">
        <f t="shared" si="1"/>
        <v>Saturday</v>
      </c>
      <c r="E40" s="59">
        <v>0.45833333333333331</v>
      </c>
      <c r="F40" s="59">
        <v>0.5</v>
      </c>
      <c r="G40" s="59">
        <v>1.7361111111111109E-4</v>
      </c>
      <c r="H40" t="s">
        <v>95</v>
      </c>
      <c r="I40" s="60" t="s">
        <v>109</v>
      </c>
      <c r="J40" t="s">
        <v>90</v>
      </c>
      <c r="L40">
        <v>1</v>
      </c>
      <c r="M40">
        <v>72870</v>
      </c>
      <c r="N40" t="s">
        <v>32</v>
      </c>
      <c r="O40" t="s">
        <v>96</v>
      </c>
      <c r="P40" s="64">
        <v>70</v>
      </c>
      <c r="R40" s="64">
        <f t="shared" si="2"/>
        <v>70</v>
      </c>
      <c r="S40" s="62">
        <v>46095</v>
      </c>
      <c r="T40" s="64">
        <f t="shared" si="3"/>
        <v>10.5</v>
      </c>
      <c r="U40" s="63">
        <v>4</v>
      </c>
      <c r="V40" s="64">
        <f t="shared" si="4"/>
        <v>59.5</v>
      </c>
      <c r="W40" t="s">
        <v>69</v>
      </c>
      <c r="X40" t="s">
        <v>78</v>
      </c>
      <c r="Y40" t="s">
        <v>70</v>
      </c>
      <c r="Z40" t="s">
        <v>72</v>
      </c>
      <c r="AA40" t="s">
        <v>31</v>
      </c>
      <c r="AB40" s="63" t="s">
        <v>97</v>
      </c>
      <c r="AC40" t="s">
        <v>89</v>
      </c>
    </row>
    <row r="41" spans="1:29" x14ac:dyDescent="0.25">
      <c r="A41" t="s">
        <v>83</v>
      </c>
      <c r="B41" s="57">
        <v>46103</v>
      </c>
      <c r="C41" s="56">
        <f t="shared" si="0"/>
        <v>46103</v>
      </c>
      <c r="D41" s="58" t="str">
        <f t="shared" si="1"/>
        <v>Sunday</v>
      </c>
      <c r="E41" s="59">
        <v>0.45833333333333331</v>
      </c>
      <c r="F41" s="59">
        <v>0.5</v>
      </c>
      <c r="G41" s="59">
        <v>1.7361111111111109E-4</v>
      </c>
      <c r="H41" t="s">
        <v>98</v>
      </c>
      <c r="I41" s="60" t="s">
        <v>109</v>
      </c>
      <c r="J41" t="s">
        <v>90</v>
      </c>
      <c r="L41">
        <v>1</v>
      </c>
      <c r="M41">
        <v>72870</v>
      </c>
      <c r="N41" t="s">
        <v>32</v>
      </c>
      <c r="O41" t="s">
        <v>96</v>
      </c>
      <c r="P41" s="64">
        <v>70</v>
      </c>
      <c r="R41" s="64">
        <f t="shared" si="2"/>
        <v>70</v>
      </c>
      <c r="S41" s="62">
        <v>46103</v>
      </c>
      <c r="T41" s="64">
        <f t="shared" si="3"/>
        <v>10.5</v>
      </c>
      <c r="U41" s="63">
        <v>4</v>
      </c>
      <c r="V41" s="64">
        <f t="shared" si="4"/>
        <v>59.5</v>
      </c>
      <c r="W41" t="s">
        <v>69</v>
      </c>
      <c r="X41" t="s">
        <v>78</v>
      </c>
      <c r="Y41" t="s">
        <v>70</v>
      </c>
      <c r="Z41" t="s">
        <v>72</v>
      </c>
      <c r="AA41" t="s">
        <v>31</v>
      </c>
      <c r="AB41" s="63" t="s">
        <v>97</v>
      </c>
      <c r="AC41" t="s">
        <v>89</v>
      </c>
    </row>
    <row r="42" spans="1:29" x14ac:dyDescent="0.25">
      <c r="A42" t="s">
        <v>83</v>
      </c>
      <c r="B42" s="57">
        <v>46109</v>
      </c>
      <c r="C42" s="56">
        <f t="shared" si="0"/>
        <v>46109</v>
      </c>
      <c r="D42" s="58" t="str">
        <f t="shared" si="1"/>
        <v>Saturday</v>
      </c>
      <c r="E42" s="59">
        <v>0.45833333333333331</v>
      </c>
      <c r="F42" s="59">
        <v>0.5</v>
      </c>
      <c r="G42" s="59">
        <v>1.7361111111111109E-4</v>
      </c>
      <c r="H42" t="s">
        <v>95</v>
      </c>
      <c r="I42" s="60" t="s">
        <v>110</v>
      </c>
      <c r="J42" t="s">
        <v>90</v>
      </c>
      <c r="L42">
        <v>1</v>
      </c>
      <c r="M42">
        <v>72870</v>
      </c>
      <c r="N42" t="s">
        <v>32</v>
      </c>
      <c r="O42" t="s">
        <v>96</v>
      </c>
      <c r="P42" s="64">
        <v>70</v>
      </c>
      <c r="R42" s="64">
        <f t="shared" si="2"/>
        <v>70</v>
      </c>
      <c r="S42" s="62">
        <v>46109</v>
      </c>
      <c r="T42" s="64">
        <f t="shared" si="3"/>
        <v>10.5</v>
      </c>
      <c r="U42" s="63">
        <v>4</v>
      </c>
      <c r="V42" s="64">
        <f t="shared" si="4"/>
        <v>59.5</v>
      </c>
      <c r="W42" t="s">
        <v>69</v>
      </c>
      <c r="X42" t="s">
        <v>78</v>
      </c>
      <c r="Y42" t="s">
        <v>70</v>
      </c>
      <c r="Z42" t="s">
        <v>72</v>
      </c>
      <c r="AA42" t="s">
        <v>31</v>
      </c>
      <c r="AB42" s="63" t="s">
        <v>97</v>
      </c>
      <c r="AC42" t="s">
        <v>89</v>
      </c>
    </row>
    <row r="43" spans="1:29" x14ac:dyDescent="0.25">
      <c r="A43" t="s">
        <v>83</v>
      </c>
      <c r="B43" s="57">
        <v>46110</v>
      </c>
      <c r="C43" s="56">
        <f t="shared" si="0"/>
        <v>46110</v>
      </c>
      <c r="D43" s="58" t="str">
        <f t="shared" si="1"/>
        <v>Sunday</v>
      </c>
      <c r="E43" s="59">
        <v>0.45833333333333331</v>
      </c>
      <c r="F43" s="59">
        <v>0.5</v>
      </c>
      <c r="G43" s="59">
        <v>1.7361111111111109E-4</v>
      </c>
      <c r="H43" t="s">
        <v>95</v>
      </c>
      <c r="I43" s="60" t="s">
        <v>111</v>
      </c>
      <c r="J43" t="s">
        <v>90</v>
      </c>
      <c r="L43">
        <v>1</v>
      </c>
      <c r="M43">
        <v>72870</v>
      </c>
      <c r="N43" t="s">
        <v>32</v>
      </c>
      <c r="O43" t="s">
        <v>96</v>
      </c>
      <c r="P43" s="64">
        <v>70</v>
      </c>
      <c r="R43" s="64">
        <f t="shared" si="2"/>
        <v>70</v>
      </c>
      <c r="S43" s="62">
        <v>46110</v>
      </c>
      <c r="T43" s="64">
        <f t="shared" si="3"/>
        <v>10.5</v>
      </c>
      <c r="U43" s="63">
        <v>4</v>
      </c>
      <c r="V43" s="64">
        <f t="shared" si="4"/>
        <v>59.5</v>
      </c>
      <c r="W43" t="s">
        <v>69</v>
      </c>
      <c r="X43" t="s">
        <v>78</v>
      </c>
      <c r="Y43" t="s">
        <v>70</v>
      </c>
      <c r="Z43" t="s">
        <v>72</v>
      </c>
      <c r="AA43" t="s">
        <v>31</v>
      </c>
      <c r="AB43" s="63" t="s">
        <v>97</v>
      </c>
      <c r="AC43" t="s">
        <v>89</v>
      </c>
    </row>
    <row r="44" spans="1:29" x14ac:dyDescent="0.25">
      <c r="A44" t="s">
        <v>83</v>
      </c>
      <c r="B44" s="57">
        <v>46092</v>
      </c>
      <c r="C44" s="56">
        <f t="shared" si="0"/>
        <v>46092</v>
      </c>
      <c r="D44" s="58" t="str">
        <f t="shared" si="1"/>
        <v>Wednesday</v>
      </c>
      <c r="E44" s="59">
        <v>0.5</v>
      </c>
      <c r="F44" s="59">
        <v>0.54166666666666663</v>
      </c>
      <c r="G44" s="59">
        <v>1.7361111111111109E-4</v>
      </c>
      <c r="H44" t="s">
        <v>98</v>
      </c>
      <c r="I44" s="60" t="s">
        <v>112</v>
      </c>
      <c r="J44" t="s">
        <v>90</v>
      </c>
      <c r="L44">
        <v>1</v>
      </c>
      <c r="M44">
        <v>72871</v>
      </c>
      <c r="N44" t="s">
        <v>32</v>
      </c>
      <c r="O44" t="s">
        <v>96</v>
      </c>
      <c r="P44" s="64">
        <v>70</v>
      </c>
      <c r="R44" s="64">
        <f t="shared" si="2"/>
        <v>70</v>
      </c>
      <c r="S44" s="62">
        <v>46092</v>
      </c>
      <c r="T44" s="64">
        <f t="shared" si="3"/>
        <v>10.5</v>
      </c>
      <c r="U44" s="63">
        <v>4</v>
      </c>
      <c r="V44" s="64">
        <f t="shared" si="4"/>
        <v>59.5</v>
      </c>
      <c r="W44" t="s">
        <v>69</v>
      </c>
      <c r="X44" t="s">
        <v>78</v>
      </c>
      <c r="Y44" t="s">
        <v>70</v>
      </c>
      <c r="Z44" t="s">
        <v>72</v>
      </c>
      <c r="AA44" t="s">
        <v>31</v>
      </c>
      <c r="AB44" s="63" t="s">
        <v>97</v>
      </c>
      <c r="AC44" t="s">
        <v>89</v>
      </c>
    </row>
    <row r="45" spans="1:29" x14ac:dyDescent="0.25">
      <c r="A45" t="s">
        <v>83</v>
      </c>
      <c r="B45" s="57">
        <v>46093</v>
      </c>
      <c r="C45" s="56">
        <f t="shared" si="0"/>
        <v>46093</v>
      </c>
      <c r="D45" s="58" t="str">
        <f t="shared" si="1"/>
        <v>Thursday</v>
      </c>
      <c r="E45" s="59">
        <v>0.5</v>
      </c>
      <c r="F45" s="59">
        <v>0.54166666666666663</v>
      </c>
      <c r="G45" s="59">
        <v>1.7361111111111109E-4</v>
      </c>
      <c r="H45" t="s">
        <v>98</v>
      </c>
      <c r="I45" s="60" t="s">
        <v>113</v>
      </c>
      <c r="J45" t="s">
        <v>90</v>
      </c>
      <c r="L45">
        <v>1</v>
      </c>
      <c r="M45">
        <v>72871</v>
      </c>
      <c r="N45" t="s">
        <v>32</v>
      </c>
      <c r="O45" t="s">
        <v>96</v>
      </c>
      <c r="P45" s="64">
        <v>70</v>
      </c>
      <c r="R45" s="64">
        <f t="shared" si="2"/>
        <v>70</v>
      </c>
      <c r="S45" s="62">
        <v>46093</v>
      </c>
      <c r="T45" s="64">
        <f t="shared" si="3"/>
        <v>10.5</v>
      </c>
      <c r="U45" s="63">
        <v>4</v>
      </c>
      <c r="V45" s="64">
        <f t="shared" si="4"/>
        <v>59.5</v>
      </c>
      <c r="W45" t="s">
        <v>69</v>
      </c>
      <c r="X45" t="s">
        <v>78</v>
      </c>
      <c r="Y45" t="s">
        <v>70</v>
      </c>
      <c r="Z45" t="s">
        <v>72</v>
      </c>
      <c r="AA45" t="s">
        <v>31</v>
      </c>
      <c r="AB45" s="63" t="s">
        <v>97</v>
      </c>
      <c r="AC45" t="s">
        <v>89</v>
      </c>
    </row>
    <row r="46" spans="1:29" x14ac:dyDescent="0.25">
      <c r="A46" t="s">
        <v>83</v>
      </c>
      <c r="B46" s="57">
        <v>46094</v>
      </c>
      <c r="C46" s="56">
        <f t="shared" si="0"/>
        <v>46094</v>
      </c>
      <c r="D46" s="58" t="str">
        <f t="shared" si="1"/>
        <v>Friday</v>
      </c>
      <c r="E46" s="59">
        <v>0.5</v>
      </c>
      <c r="F46" s="59">
        <v>0.54166666666666663</v>
      </c>
      <c r="G46" s="59">
        <v>1.7361111111111109E-4</v>
      </c>
      <c r="H46" t="s">
        <v>98</v>
      </c>
      <c r="I46" s="60" t="s">
        <v>113</v>
      </c>
      <c r="J46" t="s">
        <v>90</v>
      </c>
      <c r="L46">
        <v>1</v>
      </c>
      <c r="M46">
        <v>72871</v>
      </c>
      <c r="N46" t="s">
        <v>32</v>
      </c>
      <c r="O46" t="s">
        <v>96</v>
      </c>
      <c r="P46" s="64">
        <v>70</v>
      </c>
      <c r="R46" s="64">
        <f t="shared" si="2"/>
        <v>70</v>
      </c>
      <c r="S46" s="62">
        <v>46094</v>
      </c>
      <c r="T46" s="64">
        <f t="shared" si="3"/>
        <v>10.5</v>
      </c>
      <c r="U46" s="63">
        <v>4</v>
      </c>
      <c r="V46" s="64">
        <f t="shared" si="4"/>
        <v>59.5</v>
      </c>
      <c r="W46" t="s">
        <v>69</v>
      </c>
      <c r="X46" t="s">
        <v>78</v>
      </c>
      <c r="Y46" t="s">
        <v>70</v>
      </c>
      <c r="Z46" t="s">
        <v>72</v>
      </c>
      <c r="AA46" t="s">
        <v>31</v>
      </c>
      <c r="AB46" s="63" t="s">
        <v>97</v>
      </c>
      <c r="AC46" t="s">
        <v>89</v>
      </c>
    </row>
    <row r="47" spans="1:29" x14ac:dyDescent="0.25">
      <c r="A47" t="s">
        <v>83</v>
      </c>
      <c r="B47" s="57">
        <v>46092</v>
      </c>
      <c r="C47" s="56">
        <f t="shared" si="0"/>
        <v>46092</v>
      </c>
      <c r="D47" s="58" t="str">
        <f t="shared" si="1"/>
        <v>Wednesday</v>
      </c>
      <c r="E47" s="59">
        <v>0.5</v>
      </c>
      <c r="F47" s="59">
        <v>0.54166666666666663</v>
      </c>
      <c r="G47" s="59">
        <v>1.7361111111111109E-4</v>
      </c>
      <c r="H47" t="s">
        <v>98</v>
      </c>
      <c r="I47" s="60" t="s">
        <v>114</v>
      </c>
      <c r="J47" t="s">
        <v>90</v>
      </c>
      <c r="L47">
        <v>1</v>
      </c>
      <c r="M47">
        <v>72871</v>
      </c>
      <c r="N47" t="s">
        <v>32</v>
      </c>
      <c r="O47" t="s">
        <v>96</v>
      </c>
      <c r="P47" s="64">
        <v>70</v>
      </c>
      <c r="R47" s="64">
        <f t="shared" si="2"/>
        <v>70</v>
      </c>
      <c r="S47" s="62">
        <v>46092</v>
      </c>
      <c r="T47" s="64">
        <f t="shared" si="3"/>
        <v>10.5</v>
      </c>
      <c r="U47" s="63">
        <v>4</v>
      </c>
      <c r="V47" s="64">
        <f t="shared" si="4"/>
        <v>59.5</v>
      </c>
      <c r="W47" t="s">
        <v>69</v>
      </c>
      <c r="X47" t="s">
        <v>78</v>
      </c>
      <c r="Y47" t="s">
        <v>70</v>
      </c>
      <c r="Z47" t="s">
        <v>72</v>
      </c>
      <c r="AA47" t="s">
        <v>31</v>
      </c>
      <c r="AB47" s="63" t="s">
        <v>97</v>
      </c>
      <c r="AC47" t="s">
        <v>89</v>
      </c>
    </row>
    <row r="48" spans="1:29" x14ac:dyDescent="0.25">
      <c r="A48" t="s">
        <v>83</v>
      </c>
      <c r="B48" s="57">
        <v>46093</v>
      </c>
      <c r="C48" s="56">
        <f t="shared" si="0"/>
        <v>46093</v>
      </c>
      <c r="D48" s="58" t="str">
        <f t="shared" si="1"/>
        <v>Thursday</v>
      </c>
      <c r="E48" s="59">
        <v>0.5</v>
      </c>
      <c r="F48" s="59">
        <v>0.54166666666666663</v>
      </c>
      <c r="G48" s="59">
        <v>1.7361111111111109E-4</v>
      </c>
      <c r="H48" t="s">
        <v>98</v>
      </c>
      <c r="I48" s="60" t="s">
        <v>115</v>
      </c>
      <c r="J48" t="s">
        <v>90</v>
      </c>
      <c r="L48">
        <v>1</v>
      </c>
      <c r="M48">
        <v>72871</v>
      </c>
      <c r="N48" t="s">
        <v>32</v>
      </c>
      <c r="O48" t="s">
        <v>96</v>
      </c>
      <c r="P48" s="64">
        <v>70</v>
      </c>
      <c r="R48" s="64">
        <f t="shared" si="2"/>
        <v>70</v>
      </c>
      <c r="S48" s="62">
        <v>46093</v>
      </c>
      <c r="T48" s="64">
        <f t="shared" si="3"/>
        <v>10.5</v>
      </c>
      <c r="U48" s="63">
        <v>4</v>
      </c>
      <c r="V48" s="64">
        <f t="shared" si="4"/>
        <v>59.5</v>
      </c>
      <c r="W48" t="s">
        <v>69</v>
      </c>
      <c r="X48" t="s">
        <v>78</v>
      </c>
      <c r="Y48" t="s">
        <v>70</v>
      </c>
      <c r="Z48" t="s">
        <v>72</v>
      </c>
      <c r="AA48" t="s">
        <v>31</v>
      </c>
      <c r="AB48" s="63" t="s">
        <v>97</v>
      </c>
      <c r="AC48" t="s">
        <v>89</v>
      </c>
    </row>
    <row r="49" spans="1:29" x14ac:dyDescent="0.25">
      <c r="A49" t="s">
        <v>83</v>
      </c>
      <c r="B49" s="57">
        <v>46094</v>
      </c>
      <c r="C49" s="56">
        <f t="shared" si="0"/>
        <v>46094</v>
      </c>
      <c r="D49" s="58" t="str">
        <f t="shared" si="1"/>
        <v>Friday</v>
      </c>
      <c r="E49" s="59">
        <v>0.5</v>
      </c>
      <c r="F49" s="59">
        <v>0.54166666666666663</v>
      </c>
      <c r="G49" s="59">
        <v>1.7361111111111109E-4</v>
      </c>
      <c r="H49" t="s">
        <v>98</v>
      </c>
      <c r="I49" s="60" t="s">
        <v>115</v>
      </c>
      <c r="J49" t="s">
        <v>90</v>
      </c>
      <c r="L49">
        <v>1</v>
      </c>
      <c r="M49">
        <v>72871</v>
      </c>
      <c r="N49" t="s">
        <v>32</v>
      </c>
      <c r="O49" t="s">
        <v>96</v>
      </c>
      <c r="P49" s="64">
        <v>70</v>
      </c>
      <c r="R49" s="64">
        <f t="shared" si="2"/>
        <v>70</v>
      </c>
      <c r="S49" s="62">
        <v>46094</v>
      </c>
      <c r="T49" s="64">
        <f t="shared" si="3"/>
        <v>10.5</v>
      </c>
      <c r="U49" s="63">
        <v>4</v>
      </c>
      <c r="V49" s="64">
        <f t="shared" si="4"/>
        <v>59.5</v>
      </c>
      <c r="W49" t="s">
        <v>69</v>
      </c>
      <c r="X49" t="s">
        <v>78</v>
      </c>
      <c r="Y49" t="s">
        <v>70</v>
      </c>
      <c r="Z49" t="s">
        <v>72</v>
      </c>
      <c r="AA49" t="s">
        <v>31</v>
      </c>
      <c r="AB49" s="63" t="s">
        <v>97</v>
      </c>
      <c r="AC49" t="s">
        <v>89</v>
      </c>
    </row>
    <row r="50" spans="1:29" x14ac:dyDescent="0.25">
      <c r="A50" t="s">
        <v>83</v>
      </c>
      <c r="B50" s="57">
        <v>46090</v>
      </c>
      <c r="C50" s="56">
        <f t="shared" si="0"/>
        <v>46090</v>
      </c>
      <c r="D50" s="58" t="str">
        <f t="shared" si="1"/>
        <v>Monday</v>
      </c>
      <c r="E50" s="59">
        <v>0.5</v>
      </c>
      <c r="F50" s="59">
        <v>0.54166666666666663</v>
      </c>
      <c r="G50" s="59">
        <v>1.7361111111111109E-4</v>
      </c>
      <c r="H50" t="s">
        <v>98</v>
      </c>
      <c r="I50" s="60" t="s">
        <v>116</v>
      </c>
      <c r="J50" t="s">
        <v>90</v>
      </c>
      <c r="L50">
        <v>1</v>
      </c>
      <c r="M50">
        <v>72871</v>
      </c>
      <c r="N50" t="s">
        <v>32</v>
      </c>
      <c r="O50" t="s">
        <v>96</v>
      </c>
      <c r="P50" s="64">
        <v>70</v>
      </c>
      <c r="R50" s="64">
        <f t="shared" si="2"/>
        <v>70</v>
      </c>
      <c r="S50" s="62">
        <v>46090</v>
      </c>
      <c r="T50" s="64">
        <f t="shared" si="3"/>
        <v>10.5</v>
      </c>
      <c r="U50" s="63">
        <v>4</v>
      </c>
      <c r="V50" s="64">
        <f t="shared" si="4"/>
        <v>59.5</v>
      </c>
      <c r="W50" t="s">
        <v>69</v>
      </c>
      <c r="X50" t="s">
        <v>78</v>
      </c>
      <c r="Y50" t="s">
        <v>70</v>
      </c>
      <c r="Z50" t="s">
        <v>72</v>
      </c>
      <c r="AA50" t="s">
        <v>31</v>
      </c>
      <c r="AB50" s="63" t="s">
        <v>97</v>
      </c>
      <c r="AC50" t="s">
        <v>89</v>
      </c>
    </row>
    <row r="51" spans="1:29" x14ac:dyDescent="0.25">
      <c r="A51" t="s">
        <v>83</v>
      </c>
      <c r="B51" s="57">
        <v>46090</v>
      </c>
      <c r="C51" s="56">
        <f t="shared" si="0"/>
        <v>46090</v>
      </c>
      <c r="D51" s="58" t="str">
        <f t="shared" si="1"/>
        <v>Monday</v>
      </c>
      <c r="E51" s="59">
        <v>0.5</v>
      </c>
      <c r="F51" s="59">
        <v>0.54166666666666663</v>
      </c>
      <c r="G51" s="59">
        <v>1.7361111111111109E-4</v>
      </c>
      <c r="H51" t="s">
        <v>98</v>
      </c>
      <c r="I51" s="60" t="s">
        <v>117</v>
      </c>
      <c r="J51" t="s">
        <v>90</v>
      </c>
      <c r="L51">
        <v>1</v>
      </c>
      <c r="M51">
        <v>72871</v>
      </c>
      <c r="N51" t="s">
        <v>32</v>
      </c>
      <c r="O51" t="s">
        <v>96</v>
      </c>
      <c r="P51" s="64">
        <v>70</v>
      </c>
      <c r="R51" s="64">
        <f t="shared" si="2"/>
        <v>70</v>
      </c>
      <c r="S51" s="62">
        <v>46090</v>
      </c>
      <c r="T51" s="64">
        <f t="shared" si="3"/>
        <v>10.5</v>
      </c>
      <c r="U51" s="63">
        <v>4</v>
      </c>
      <c r="V51" s="64">
        <f t="shared" si="4"/>
        <v>59.5</v>
      </c>
      <c r="W51" t="s">
        <v>69</v>
      </c>
      <c r="X51" t="s">
        <v>78</v>
      </c>
      <c r="Y51" t="s">
        <v>70</v>
      </c>
      <c r="Z51" t="s">
        <v>72</v>
      </c>
      <c r="AA51" t="s">
        <v>31</v>
      </c>
      <c r="AB51" s="63" t="s">
        <v>97</v>
      </c>
      <c r="AC51" t="s">
        <v>89</v>
      </c>
    </row>
    <row r="52" spans="1:29" x14ac:dyDescent="0.25">
      <c r="A52" t="s">
        <v>83</v>
      </c>
      <c r="B52" s="57">
        <v>46091</v>
      </c>
      <c r="C52" s="56">
        <f t="shared" si="0"/>
        <v>46091</v>
      </c>
      <c r="D52" s="58" t="str">
        <f t="shared" si="1"/>
        <v>Tuesday</v>
      </c>
      <c r="E52" s="59">
        <v>0.5</v>
      </c>
      <c r="F52" s="59">
        <v>0.54166666666666663</v>
      </c>
      <c r="G52" s="59">
        <v>1.7361111111111109E-4</v>
      </c>
      <c r="H52" t="s">
        <v>98</v>
      </c>
      <c r="I52" s="60" t="s">
        <v>115</v>
      </c>
      <c r="J52" t="s">
        <v>90</v>
      </c>
      <c r="L52">
        <v>1</v>
      </c>
      <c r="M52">
        <v>72872</v>
      </c>
      <c r="N52" t="s">
        <v>32</v>
      </c>
      <c r="O52" t="s">
        <v>96</v>
      </c>
      <c r="P52" s="64">
        <v>70</v>
      </c>
      <c r="R52" s="64">
        <f t="shared" si="2"/>
        <v>70</v>
      </c>
      <c r="S52" s="62">
        <v>46091</v>
      </c>
      <c r="T52" s="64">
        <f t="shared" si="3"/>
        <v>10.5</v>
      </c>
      <c r="U52" s="63">
        <v>4</v>
      </c>
      <c r="V52" s="64">
        <f t="shared" si="4"/>
        <v>59.5</v>
      </c>
      <c r="W52" t="s">
        <v>69</v>
      </c>
      <c r="X52" t="s">
        <v>78</v>
      </c>
      <c r="Y52" t="s">
        <v>70</v>
      </c>
      <c r="Z52" t="s">
        <v>72</v>
      </c>
      <c r="AA52" t="s">
        <v>31</v>
      </c>
      <c r="AB52" s="63" t="s">
        <v>97</v>
      </c>
      <c r="AC52" t="s">
        <v>89</v>
      </c>
    </row>
    <row r="53" spans="1:29" x14ac:dyDescent="0.25">
      <c r="A53" t="s">
        <v>83</v>
      </c>
      <c r="B53" s="57">
        <v>46097</v>
      </c>
      <c r="C53" s="56">
        <f t="shared" si="0"/>
        <v>46097</v>
      </c>
      <c r="D53" s="58" t="str">
        <f t="shared" si="1"/>
        <v>Monday</v>
      </c>
      <c r="E53" s="59">
        <v>0.5</v>
      </c>
      <c r="F53" s="59">
        <v>0.54166666666666663</v>
      </c>
      <c r="G53" s="59">
        <v>1.7361111111111109E-4</v>
      </c>
      <c r="H53" t="s">
        <v>95</v>
      </c>
      <c r="I53" s="60" t="s">
        <v>112</v>
      </c>
      <c r="J53" t="s">
        <v>90</v>
      </c>
      <c r="L53">
        <v>1</v>
      </c>
      <c r="M53">
        <v>72873</v>
      </c>
      <c r="N53" t="s">
        <v>32</v>
      </c>
      <c r="O53" t="s">
        <v>96</v>
      </c>
      <c r="P53" s="64">
        <v>70</v>
      </c>
      <c r="R53" s="64">
        <f t="shared" si="2"/>
        <v>70</v>
      </c>
      <c r="S53" s="62">
        <v>46097</v>
      </c>
      <c r="T53" s="64">
        <f t="shared" si="3"/>
        <v>10.5</v>
      </c>
      <c r="U53" s="63">
        <v>4</v>
      </c>
      <c r="V53" s="64">
        <f t="shared" si="4"/>
        <v>59.5</v>
      </c>
      <c r="W53" t="s">
        <v>69</v>
      </c>
      <c r="X53" t="s">
        <v>78</v>
      </c>
      <c r="Y53" t="s">
        <v>70</v>
      </c>
      <c r="Z53" t="s">
        <v>72</v>
      </c>
      <c r="AA53" t="s">
        <v>31</v>
      </c>
      <c r="AB53" s="63" t="s">
        <v>97</v>
      </c>
      <c r="AC53" t="s">
        <v>89</v>
      </c>
    </row>
    <row r="54" spans="1:29" x14ac:dyDescent="0.25">
      <c r="A54" t="s">
        <v>83</v>
      </c>
      <c r="B54" s="57">
        <v>46101</v>
      </c>
      <c r="C54" s="56">
        <f t="shared" si="0"/>
        <v>46101</v>
      </c>
      <c r="D54" s="58" t="str">
        <f t="shared" si="1"/>
        <v>Friday</v>
      </c>
      <c r="E54" s="59">
        <v>0.5</v>
      </c>
      <c r="F54" s="59">
        <v>0.54166666666666663</v>
      </c>
      <c r="G54" s="59">
        <v>1.7361111111111109E-4</v>
      </c>
      <c r="H54" t="s">
        <v>95</v>
      </c>
      <c r="I54" s="60" t="s">
        <v>112</v>
      </c>
      <c r="J54" t="s">
        <v>90</v>
      </c>
      <c r="L54">
        <v>1</v>
      </c>
      <c r="M54">
        <v>72873</v>
      </c>
      <c r="N54" t="s">
        <v>32</v>
      </c>
      <c r="O54" t="s">
        <v>96</v>
      </c>
      <c r="P54" s="64">
        <v>70</v>
      </c>
      <c r="R54" s="64">
        <f t="shared" si="2"/>
        <v>70</v>
      </c>
      <c r="S54" s="62">
        <v>46101</v>
      </c>
      <c r="T54" s="64">
        <f t="shared" si="3"/>
        <v>10.5</v>
      </c>
      <c r="U54" s="63">
        <v>4</v>
      </c>
      <c r="V54" s="64">
        <f t="shared" si="4"/>
        <v>59.5</v>
      </c>
      <c r="W54" t="s">
        <v>69</v>
      </c>
      <c r="X54" t="s">
        <v>78</v>
      </c>
      <c r="Y54" t="s">
        <v>70</v>
      </c>
      <c r="Z54" t="s">
        <v>72</v>
      </c>
      <c r="AA54" t="s">
        <v>31</v>
      </c>
      <c r="AB54" s="63" t="s">
        <v>97</v>
      </c>
      <c r="AC54" t="s">
        <v>89</v>
      </c>
    </row>
    <row r="55" spans="1:29" x14ac:dyDescent="0.25">
      <c r="A55" t="s">
        <v>83</v>
      </c>
      <c r="B55" s="57">
        <v>46100</v>
      </c>
      <c r="C55" s="56">
        <f t="shared" si="0"/>
        <v>46100</v>
      </c>
      <c r="D55" s="58" t="str">
        <f t="shared" si="1"/>
        <v>Thursday</v>
      </c>
      <c r="E55" s="59">
        <v>0.5</v>
      </c>
      <c r="F55" s="59">
        <v>0.54166666666666663</v>
      </c>
      <c r="G55" s="59">
        <v>1.7361111111111109E-4</v>
      </c>
      <c r="H55" t="s">
        <v>95</v>
      </c>
      <c r="I55" s="60" t="s">
        <v>113</v>
      </c>
      <c r="J55" t="s">
        <v>90</v>
      </c>
      <c r="L55">
        <v>1</v>
      </c>
      <c r="M55">
        <v>72873</v>
      </c>
      <c r="N55" t="s">
        <v>32</v>
      </c>
      <c r="O55" t="s">
        <v>96</v>
      </c>
      <c r="P55" s="64">
        <v>70</v>
      </c>
      <c r="R55" s="64">
        <f t="shared" si="2"/>
        <v>70</v>
      </c>
      <c r="S55" s="62">
        <v>46100</v>
      </c>
      <c r="T55" s="64">
        <f t="shared" si="3"/>
        <v>10.5</v>
      </c>
      <c r="U55" s="63">
        <v>4</v>
      </c>
      <c r="V55" s="64">
        <f t="shared" si="4"/>
        <v>59.5</v>
      </c>
      <c r="W55" t="s">
        <v>69</v>
      </c>
      <c r="X55" t="s">
        <v>78</v>
      </c>
      <c r="Y55" t="s">
        <v>70</v>
      </c>
      <c r="Z55" t="s">
        <v>72</v>
      </c>
      <c r="AA55" t="s">
        <v>31</v>
      </c>
      <c r="AB55" s="63" t="s">
        <v>97</v>
      </c>
      <c r="AC55" t="s">
        <v>89</v>
      </c>
    </row>
    <row r="56" spans="1:29" x14ac:dyDescent="0.25">
      <c r="A56" t="s">
        <v>83</v>
      </c>
      <c r="B56" s="57">
        <v>46097</v>
      </c>
      <c r="C56" s="56">
        <f t="shared" si="0"/>
        <v>46097</v>
      </c>
      <c r="D56" s="58" t="str">
        <f t="shared" si="1"/>
        <v>Monday</v>
      </c>
      <c r="E56" s="59">
        <v>0.5</v>
      </c>
      <c r="F56" s="59">
        <v>0.54166666666666663</v>
      </c>
      <c r="G56" s="59">
        <v>1.7361111111111109E-4</v>
      </c>
      <c r="H56" t="s">
        <v>95</v>
      </c>
      <c r="I56" s="60" t="s">
        <v>114</v>
      </c>
      <c r="J56" t="s">
        <v>90</v>
      </c>
      <c r="L56">
        <v>1</v>
      </c>
      <c r="M56">
        <v>72873</v>
      </c>
      <c r="N56" t="s">
        <v>32</v>
      </c>
      <c r="O56" t="s">
        <v>96</v>
      </c>
      <c r="P56" s="64">
        <v>70</v>
      </c>
      <c r="R56" s="64">
        <f t="shared" si="2"/>
        <v>70</v>
      </c>
      <c r="S56" s="62">
        <v>46097</v>
      </c>
      <c r="T56" s="64">
        <f t="shared" si="3"/>
        <v>10.5</v>
      </c>
      <c r="U56" s="63">
        <v>4</v>
      </c>
      <c r="V56" s="64">
        <f t="shared" si="4"/>
        <v>59.5</v>
      </c>
      <c r="W56" t="s">
        <v>69</v>
      </c>
      <c r="X56" t="s">
        <v>78</v>
      </c>
      <c r="Y56" t="s">
        <v>70</v>
      </c>
      <c r="Z56" t="s">
        <v>72</v>
      </c>
      <c r="AA56" t="s">
        <v>31</v>
      </c>
      <c r="AB56" s="63" t="s">
        <v>97</v>
      </c>
      <c r="AC56" t="s">
        <v>89</v>
      </c>
    </row>
    <row r="57" spans="1:29" x14ac:dyDescent="0.25">
      <c r="A57" t="s">
        <v>83</v>
      </c>
      <c r="B57" s="57">
        <v>46101</v>
      </c>
      <c r="C57" s="56">
        <f t="shared" si="0"/>
        <v>46101</v>
      </c>
      <c r="D57" s="58" t="str">
        <f t="shared" si="1"/>
        <v>Friday</v>
      </c>
      <c r="E57" s="59">
        <v>0.5</v>
      </c>
      <c r="F57" s="59">
        <v>0.54166666666666663</v>
      </c>
      <c r="G57" s="59">
        <v>1.7361111111111109E-4</v>
      </c>
      <c r="H57" t="s">
        <v>95</v>
      </c>
      <c r="I57" s="60" t="s">
        <v>114</v>
      </c>
      <c r="J57" t="s">
        <v>90</v>
      </c>
      <c r="L57">
        <v>1</v>
      </c>
      <c r="M57">
        <v>72873</v>
      </c>
      <c r="N57" t="s">
        <v>32</v>
      </c>
      <c r="O57" t="s">
        <v>96</v>
      </c>
      <c r="P57" s="64">
        <v>70</v>
      </c>
      <c r="R57" s="64">
        <f t="shared" si="2"/>
        <v>70</v>
      </c>
      <c r="S57" s="62">
        <v>46101</v>
      </c>
      <c r="T57" s="64">
        <f t="shared" si="3"/>
        <v>10.5</v>
      </c>
      <c r="U57" s="63">
        <v>4</v>
      </c>
      <c r="V57" s="64">
        <f t="shared" si="4"/>
        <v>59.5</v>
      </c>
      <c r="W57" t="s">
        <v>69</v>
      </c>
      <c r="X57" t="s">
        <v>78</v>
      </c>
      <c r="Y57" t="s">
        <v>70</v>
      </c>
      <c r="Z57" t="s">
        <v>72</v>
      </c>
      <c r="AA57" t="s">
        <v>31</v>
      </c>
      <c r="AB57" s="63" t="s">
        <v>97</v>
      </c>
      <c r="AC57" t="s">
        <v>89</v>
      </c>
    </row>
    <row r="58" spans="1:29" x14ac:dyDescent="0.25">
      <c r="A58" t="s">
        <v>83</v>
      </c>
      <c r="B58" s="57">
        <v>46098</v>
      </c>
      <c r="C58" s="56">
        <f t="shared" si="0"/>
        <v>46098</v>
      </c>
      <c r="D58" s="58" t="str">
        <f t="shared" si="1"/>
        <v>Tuesday</v>
      </c>
      <c r="E58" s="59">
        <v>0.5</v>
      </c>
      <c r="F58" s="59">
        <v>0.54166666666666663</v>
      </c>
      <c r="G58" s="59">
        <v>1.7361111111111109E-4</v>
      </c>
      <c r="H58" t="s">
        <v>95</v>
      </c>
      <c r="I58" s="60" t="s">
        <v>115</v>
      </c>
      <c r="J58" t="s">
        <v>90</v>
      </c>
      <c r="L58">
        <v>1</v>
      </c>
      <c r="M58">
        <v>72873</v>
      </c>
      <c r="N58" t="s">
        <v>32</v>
      </c>
      <c r="O58" t="s">
        <v>96</v>
      </c>
      <c r="P58" s="64">
        <v>70</v>
      </c>
      <c r="R58" s="64">
        <f t="shared" si="2"/>
        <v>70</v>
      </c>
      <c r="S58" s="62">
        <v>46098</v>
      </c>
      <c r="T58" s="64">
        <f t="shared" si="3"/>
        <v>10.5</v>
      </c>
      <c r="U58" s="63">
        <v>4</v>
      </c>
      <c r="V58" s="64">
        <f t="shared" si="4"/>
        <v>59.5</v>
      </c>
      <c r="W58" t="s">
        <v>69</v>
      </c>
      <c r="X58" t="s">
        <v>78</v>
      </c>
      <c r="Y58" t="s">
        <v>70</v>
      </c>
      <c r="Z58" t="s">
        <v>72</v>
      </c>
      <c r="AA58" t="s">
        <v>31</v>
      </c>
      <c r="AB58" s="63" t="s">
        <v>97</v>
      </c>
      <c r="AC58" t="s">
        <v>89</v>
      </c>
    </row>
    <row r="59" spans="1:29" x14ac:dyDescent="0.25">
      <c r="A59" t="s">
        <v>83</v>
      </c>
      <c r="B59" s="57">
        <v>46100</v>
      </c>
      <c r="C59" s="56">
        <f t="shared" si="0"/>
        <v>46100</v>
      </c>
      <c r="D59" s="58" t="str">
        <f t="shared" si="1"/>
        <v>Thursday</v>
      </c>
      <c r="E59" s="59">
        <v>0.5</v>
      </c>
      <c r="F59" s="59">
        <v>0.54166666666666663</v>
      </c>
      <c r="G59" s="59">
        <v>1.7361111111111109E-4</v>
      </c>
      <c r="H59" t="s">
        <v>95</v>
      </c>
      <c r="I59" s="60" t="s">
        <v>116</v>
      </c>
      <c r="J59" t="s">
        <v>90</v>
      </c>
      <c r="L59">
        <v>1</v>
      </c>
      <c r="M59">
        <v>72873</v>
      </c>
      <c r="N59" t="s">
        <v>32</v>
      </c>
      <c r="O59" t="s">
        <v>96</v>
      </c>
      <c r="P59" s="64">
        <v>70</v>
      </c>
      <c r="R59" s="64">
        <f t="shared" si="2"/>
        <v>70</v>
      </c>
      <c r="S59" s="62">
        <v>46100</v>
      </c>
      <c r="T59" s="64">
        <f t="shared" si="3"/>
        <v>10.5</v>
      </c>
      <c r="U59" s="63">
        <v>4</v>
      </c>
      <c r="V59" s="64">
        <f t="shared" si="4"/>
        <v>59.5</v>
      </c>
      <c r="W59" t="s">
        <v>69</v>
      </c>
      <c r="X59" t="s">
        <v>78</v>
      </c>
      <c r="Y59" t="s">
        <v>70</v>
      </c>
      <c r="Z59" t="s">
        <v>72</v>
      </c>
      <c r="AA59" t="s">
        <v>31</v>
      </c>
      <c r="AB59" s="63" t="s">
        <v>97</v>
      </c>
      <c r="AC59" t="s">
        <v>89</v>
      </c>
    </row>
    <row r="60" spans="1:29" x14ac:dyDescent="0.25">
      <c r="A60" t="s">
        <v>83</v>
      </c>
      <c r="B60" s="57">
        <v>46098</v>
      </c>
      <c r="C60" s="56">
        <f t="shared" si="0"/>
        <v>46098</v>
      </c>
      <c r="D60" s="58" t="str">
        <f t="shared" si="1"/>
        <v>Tuesday</v>
      </c>
      <c r="E60" s="59">
        <v>0.5</v>
      </c>
      <c r="F60" s="59">
        <v>0.54166666666666663</v>
      </c>
      <c r="G60" s="59">
        <v>1.7361111111111109E-4</v>
      </c>
      <c r="H60" t="s">
        <v>95</v>
      </c>
      <c r="I60" s="60" t="s">
        <v>117</v>
      </c>
      <c r="J60" t="s">
        <v>90</v>
      </c>
      <c r="L60">
        <v>1</v>
      </c>
      <c r="M60">
        <v>72873</v>
      </c>
      <c r="N60" t="s">
        <v>32</v>
      </c>
      <c r="O60" t="s">
        <v>96</v>
      </c>
      <c r="P60" s="64">
        <v>70</v>
      </c>
      <c r="R60" s="64">
        <f t="shared" si="2"/>
        <v>70</v>
      </c>
      <c r="S60" s="62">
        <v>46098</v>
      </c>
      <c r="T60" s="64">
        <f t="shared" si="3"/>
        <v>10.5</v>
      </c>
      <c r="U60" s="63">
        <v>4</v>
      </c>
      <c r="V60" s="64">
        <f t="shared" si="4"/>
        <v>59.5</v>
      </c>
      <c r="W60" t="s">
        <v>69</v>
      </c>
      <c r="X60" t="s">
        <v>78</v>
      </c>
      <c r="Y60" t="s">
        <v>70</v>
      </c>
      <c r="Z60" t="s">
        <v>72</v>
      </c>
      <c r="AA60" t="s">
        <v>31</v>
      </c>
      <c r="AB60" s="63" t="s">
        <v>97</v>
      </c>
      <c r="AC60" t="s">
        <v>89</v>
      </c>
    </row>
    <row r="61" spans="1:29" x14ac:dyDescent="0.25">
      <c r="A61" t="s">
        <v>83</v>
      </c>
      <c r="B61" s="57">
        <v>46099</v>
      </c>
      <c r="C61" s="56">
        <f t="shared" si="0"/>
        <v>46099</v>
      </c>
      <c r="D61" s="58" t="str">
        <f t="shared" si="1"/>
        <v>Wednesday</v>
      </c>
      <c r="E61" s="59">
        <v>0.5</v>
      </c>
      <c r="F61" s="59">
        <v>0.54166666666666663</v>
      </c>
      <c r="G61" s="59">
        <v>1.7361111111111109E-4</v>
      </c>
      <c r="H61" t="s">
        <v>95</v>
      </c>
      <c r="I61" s="60" t="s">
        <v>117</v>
      </c>
      <c r="J61" t="s">
        <v>90</v>
      </c>
      <c r="L61">
        <v>1</v>
      </c>
      <c r="M61">
        <v>72874</v>
      </c>
      <c r="N61" t="s">
        <v>32</v>
      </c>
      <c r="O61" t="s">
        <v>96</v>
      </c>
      <c r="P61" s="64">
        <v>70</v>
      </c>
      <c r="R61" s="64">
        <f t="shared" si="2"/>
        <v>70</v>
      </c>
      <c r="S61" s="62">
        <v>46099</v>
      </c>
      <c r="T61" s="64">
        <f t="shared" si="3"/>
        <v>10.5</v>
      </c>
      <c r="U61" s="63">
        <v>4</v>
      </c>
      <c r="V61" s="64">
        <f t="shared" si="4"/>
        <v>59.5</v>
      </c>
      <c r="W61" t="s">
        <v>69</v>
      </c>
      <c r="X61" t="s">
        <v>78</v>
      </c>
      <c r="Y61" t="s">
        <v>70</v>
      </c>
      <c r="Z61" t="s">
        <v>72</v>
      </c>
      <c r="AA61" t="s">
        <v>31</v>
      </c>
      <c r="AB61" s="63" t="s">
        <v>97</v>
      </c>
      <c r="AC61" t="s">
        <v>89</v>
      </c>
    </row>
    <row r="62" spans="1:29" x14ac:dyDescent="0.25">
      <c r="A62" t="s">
        <v>83</v>
      </c>
      <c r="B62" s="57">
        <v>46105</v>
      </c>
      <c r="C62" s="56">
        <f t="shared" si="0"/>
        <v>46105</v>
      </c>
      <c r="D62" s="58" t="str">
        <f t="shared" si="1"/>
        <v>Tuesday</v>
      </c>
      <c r="E62" s="59">
        <v>0.5</v>
      </c>
      <c r="F62" s="59">
        <v>0.54166666666666663</v>
      </c>
      <c r="G62" s="59">
        <v>1.7361111111111109E-4</v>
      </c>
      <c r="H62" t="s">
        <v>98</v>
      </c>
      <c r="I62" s="60" t="s">
        <v>112</v>
      </c>
      <c r="J62" t="s">
        <v>90</v>
      </c>
      <c r="L62">
        <v>1</v>
      </c>
      <c r="M62">
        <v>72875</v>
      </c>
      <c r="N62" t="s">
        <v>32</v>
      </c>
      <c r="O62" t="s">
        <v>96</v>
      </c>
      <c r="P62" s="64">
        <v>70</v>
      </c>
      <c r="R62" s="64">
        <f t="shared" si="2"/>
        <v>70</v>
      </c>
      <c r="S62" s="62">
        <v>46105</v>
      </c>
      <c r="T62" s="64">
        <f t="shared" si="3"/>
        <v>10.5</v>
      </c>
      <c r="U62" s="63">
        <v>4</v>
      </c>
      <c r="V62" s="64">
        <f t="shared" si="4"/>
        <v>59.5</v>
      </c>
      <c r="W62" t="s">
        <v>69</v>
      </c>
      <c r="X62" t="s">
        <v>78</v>
      </c>
      <c r="Y62" t="s">
        <v>70</v>
      </c>
      <c r="Z62" t="s">
        <v>72</v>
      </c>
      <c r="AA62" t="s">
        <v>31</v>
      </c>
      <c r="AB62" s="63" t="s">
        <v>97</v>
      </c>
      <c r="AC62" t="s">
        <v>89</v>
      </c>
    </row>
    <row r="63" spans="1:29" x14ac:dyDescent="0.25">
      <c r="A63" t="s">
        <v>83</v>
      </c>
      <c r="B63" s="57">
        <v>46106</v>
      </c>
      <c r="C63" s="56">
        <f t="shared" si="0"/>
        <v>46106</v>
      </c>
      <c r="D63" s="58" t="str">
        <f t="shared" si="1"/>
        <v>Wednesday</v>
      </c>
      <c r="E63" s="59">
        <v>0.5</v>
      </c>
      <c r="F63" s="59">
        <v>0.54166666666666663</v>
      </c>
      <c r="G63" s="59">
        <v>1.7361111111111109E-4</v>
      </c>
      <c r="H63" t="s">
        <v>98</v>
      </c>
      <c r="I63" s="60" t="s">
        <v>113</v>
      </c>
      <c r="J63" t="s">
        <v>90</v>
      </c>
      <c r="L63">
        <v>1</v>
      </c>
      <c r="M63">
        <v>72875</v>
      </c>
      <c r="N63" t="s">
        <v>32</v>
      </c>
      <c r="O63" t="s">
        <v>96</v>
      </c>
      <c r="P63" s="64">
        <v>70</v>
      </c>
      <c r="R63" s="64">
        <f t="shared" si="2"/>
        <v>70</v>
      </c>
      <c r="S63" s="62">
        <v>46106</v>
      </c>
      <c r="T63" s="64">
        <f t="shared" si="3"/>
        <v>10.5</v>
      </c>
      <c r="U63" s="63">
        <v>4</v>
      </c>
      <c r="V63" s="64">
        <f t="shared" si="4"/>
        <v>59.5</v>
      </c>
      <c r="W63" t="s">
        <v>69</v>
      </c>
      <c r="X63" t="s">
        <v>78</v>
      </c>
      <c r="Y63" t="s">
        <v>70</v>
      </c>
      <c r="Z63" t="s">
        <v>72</v>
      </c>
      <c r="AA63" t="s">
        <v>31</v>
      </c>
      <c r="AB63" s="63" t="s">
        <v>97</v>
      </c>
      <c r="AC63" t="s">
        <v>89</v>
      </c>
    </row>
    <row r="64" spans="1:29" x14ac:dyDescent="0.25">
      <c r="A64" t="s">
        <v>83</v>
      </c>
      <c r="B64" s="57">
        <v>46104</v>
      </c>
      <c r="C64" s="56">
        <f t="shared" si="0"/>
        <v>46104</v>
      </c>
      <c r="D64" s="58" t="str">
        <f t="shared" si="1"/>
        <v>Monday</v>
      </c>
      <c r="E64" s="59">
        <v>0.5</v>
      </c>
      <c r="F64" s="59">
        <v>0.54166666666666663</v>
      </c>
      <c r="G64" s="59">
        <v>1.7361111111111109E-4</v>
      </c>
      <c r="H64" t="s">
        <v>95</v>
      </c>
      <c r="I64" s="60" t="s">
        <v>114</v>
      </c>
      <c r="J64" t="s">
        <v>90</v>
      </c>
      <c r="L64">
        <v>1</v>
      </c>
      <c r="M64">
        <v>72875</v>
      </c>
      <c r="N64" t="s">
        <v>32</v>
      </c>
      <c r="O64" t="s">
        <v>96</v>
      </c>
      <c r="P64" s="64">
        <v>70</v>
      </c>
      <c r="R64" s="64">
        <f t="shared" si="2"/>
        <v>70</v>
      </c>
      <c r="S64" s="62">
        <v>46104</v>
      </c>
      <c r="T64" s="64">
        <f t="shared" si="3"/>
        <v>10.5</v>
      </c>
      <c r="U64" s="63">
        <v>4</v>
      </c>
      <c r="V64" s="64">
        <f t="shared" si="4"/>
        <v>59.5</v>
      </c>
      <c r="W64" t="s">
        <v>69</v>
      </c>
      <c r="X64" t="s">
        <v>78</v>
      </c>
      <c r="Y64" t="s">
        <v>70</v>
      </c>
      <c r="Z64" t="s">
        <v>72</v>
      </c>
      <c r="AA64" t="s">
        <v>31</v>
      </c>
      <c r="AB64" s="63" t="s">
        <v>97</v>
      </c>
      <c r="AC64" t="s">
        <v>89</v>
      </c>
    </row>
    <row r="65" spans="1:29" x14ac:dyDescent="0.25">
      <c r="A65" t="s">
        <v>83</v>
      </c>
      <c r="B65" s="57">
        <v>46107</v>
      </c>
      <c r="C65" s="56">
        <f t="shared" si="0"/>
        <v>46107</v>
      </c>
      <c r="D65" s="58" t="str">
        <f t="shared" si="1"/>
        <v>Thursday</v>
      </c>
      <c r="E65" s="59">
        <v>0.5</v>
      </c>
      <c r="F65" s="59">
        <v>0.54166666666666663</v>
      </c>
      <c r="G65" s="59">
        <v>1.7361111111111109E-4</v>
      </c>
      <c r="H65" t="s">
        <v>98</v>
      </c>
      <c r="I65" s="60" t="s">
        <v>114</v>
      </c>
      <c r="J65" t="s">
        <v>90</v>
      </c>
      <c r="L65">
        <v>1</v>
      </c>
      <c r="M65">
        <v>72875</v>
      </c>
      <c r="N65" t="s">
        <v>32</v>
      </c>
      <c r="O65" t="s">
        <v>96</v>
      </c>
      <c r="P65" s="64">
        <v>70</v>
      </c>
      <c r="R65" s="64">
        <f t="shared" si="2"/>
        <v>70</v>
      </c>
      <c r="S65" s="62">
        <v>46107</v>
      </c>
      <c r="T65" s="64">
        <f t="shared" si="3"/>
        <v>10.5</v>
      </c>
      <c r="U65" s="63">
        <v>4</v>
      </c>
      <c r="V65" s="64">
        <f t="shared" si="4"/>
        <v>59.5</v>
      </c>
      <c r="W65" t="s">
        <v>69</v>
      </c>
      <c r="X65" t="s">
        <v>78</v>
      </c>
      <c r="Y65" t="s">
        <v>70</v>
      </c>
      <c r="Z65" t="s">
        <v>72</v>
      </c>
      <c r="AA65" t="s">
        <v>31</v>
      </c>
      <c r="AB65" s="63" t="s">
        <v>97</v>
      </c>
      <c r="AC65" t="s">
        <v>89</v>
      </c>
    </row>
    <row r="66" spans="1:29" x14ac:dyDescent="0.25">
      <c r="A66" t="s">
        <v>83</v>
      </c>
      <c r="B66" s="57">
        <v>46104</v>
      </c>
      <c r="C66" s="56">
        <f t="shared" ref="C66:C70" si="5">B66</f>
        <v>46104</v>
      </c>
      <c r="D66" s="58" t="str">
        <f t="shared" ref="D66:D70" si="6">TEXT(B66,"dddd")</f>
        <v>Monday</v>
      </c>
      <c r="E66" s="59">
        <v>0.5</v>
      </c>
      <c r="F66" s="59">
        <v>0.54166666666666663</v>
      </c>
      <c r="G66" s="59">
        <v>1.7361111111111109E-4</v>
      </c>
      <c r="H66" t="s">
        <v>95</v>
      </c>
      <c r="I66" s="60" t="s">
        <v>115</v>
      </c>
      <c r="J66" t="s">
        <v>90</v>
      </c>
      <c r="L66">
        <v>1</v>
      </c>
      <c r="M66">
        <v>72875</v>
      </c>
      <c r="N66" t="s">
        <v>32</v>
      </c>
      <c r="O66" t="s">
        <v>96</v>
      </c>
      <c r="P66" s="64">
        <v>70</v>
      </c>
      <c r="R66" s="64">
        <f t="shared" ref="R66:R70" si="7">P66</f>
        <v>70</v>
      </c>
      <c r="S66" s="62">
        <v>46104</v>
      </c>
      <c r="T66" s="64">
        <f t="shared" ref="T66:T70" si="8">P66*0.15</f>
        <v>10.5</v>
      </c>
      <c r="U66" s="63">
        <v>4</v>
      </c>
      <c r="V66" s="64">
        <f t="shared" ref="V66:V70" si="9">P66-T66</f>
        <v>59.5</v>
      </c>
      <c r="W66" t="s">
        <v>69</v>
      </c>
      <c r="X66" t="s">
        <v>78</v>
      </c>
      <c r="Y66" t="s">
        <v>70</v>
      </c>
      <c r="Z66" t="s">
        <v>72</v>
      </c>
      <c r="AA66" t="s">
        <v>31</v>
      </c>
      <c r="AB66" s="63" t="s">
        <v>97</v>
      </c>
      <c r="AC66" t="s">
        <v>89</v>
      </c>
    </row>
    <row r="67" spans="1:29" x14ac:dyDescent="0.25">
      <c r="A67" t="s">
        <v>83</v>
      </c>
      <c r="B67" s="57">
        <v>46107</v>
      </c>
      <c r="C67" s="56">
        <f t="shared" si="5"/>
        <v>46107</v>
      </c>
      <c r="D67" s="58" t="str">
        <f t="shared" si="6"/>
        <v>Thursday</v>
      </c>
      <c r="E67" s="59">
        <v>0.5</v>
      </c>
      <c r="F67" s="59">
        <v>0.54166666666666663</v>
      </c>
      <c r="G67" s="59">
        <v>1.7361111111111109E-4</v>
      </c>
      <c r="H67" t="s">
        <v>98</v>
      </c>
      <c r="I67" s="60" t="s">
        <v>115</v>
      </c>
      <c r="J67" t="s">
        <v>90</v>
      </c>
      <c r="L67">
        <v>1</v>
      </c>
      <c r="M67">
        <v>72875</v>
      </c>
      <c r="N67" t="s">
        <v>32</v>
      </c>
      <c r="O67" t="s">
        <v>96</v>
      </c>
      <c r="P67" s="64">
        <v>70</v>
      </c>
      <c r="R67" s="64">
        <f t="shared" si="7"/>
        <v>70</v>
      </c>
      <c r="S67" s="62">
        <v>46107</v>
      </c>
      <c r="T67" s="64">
        <f t="shared" si="8"/>
        <v>10.5</v>
      </c>
      <c r="U67" s="63">
        <v>4</v>
      </c>
      <c r="V67" s="64">
        <f t="shared" si="9"/>
        <v>59.5</v>
      </c>
      <c r="W67" t="s">
        <v>69</v>
      </c>
      <c r="X67" t="s">
        <v>78</v>
      </c>
      <c r="Y67" t="s">
        <v>70</v>
      </c>
      <c r="Z67" t="s">
        <v>72</v>
      </c>
      <c r="AA67" t="s">
        <v>31</v>
      </c>
      <c r="AB67" s="63" t="s">
        <v>97</v>
      </c>
      <c r="AC67" t="s">
        <v>89</v>
      </c>
    </row>
    <row r="68" spans="1:29" x14ac:dyDescent="0.25">
      <c r="A68" t="s">
        <v>83</v>
      </c>
      <c r="B68" s="57">
        <v>46106</v>
      </c>
      <c r="C68" s="56">
        <f t="shared" si="5"/>
        <v>46106</v>
      </c>
      <c r="D68" s="58" t="str">
        <f t="shared" si="6"/>
        <v>Wednesday</v>
      </c>
      <c r="E68" s="59">
        <v>0.5</v>
      </c>
      <c r="F68" s="59">
        <v>0.54166666666666663</v>
      </c>
      <c r="G68" s="59">
        <v>1.7361111111111109E-4</v>
      </c>
      <c r="H68" t="s">
        <v>98</v>
      </c>
      <c r="I68" s="60" t="s">
        <v>116</v>
      </c>
      <c r="J68" t="s">
        <v>90</v>
      </c>
      <c r="L68">
        <v>1</v>
      </c>
      <c r="M68">
        <v>72875</v>
      </c>
      <c r="N68" t="s">
        <v>32</v>
      </c>
      <c r="O68" t="s">
        <v>96</v>
      </c>
      <c r="P68" s="64">
        <v>70</v>
      </c>
      <c r="R68" s="64">
        <f t="shared" si="7"/>
        <v>70</v>
      </c>
      <c r="S68" s="62">
        <v>46106</v>
      </c>
      <c r="T68" s="64">
        <f t="shared" si="8"/>
        <v>10.5</v>
      </c>
      <c r="U68" s="63">
        <v>4</v>
      </c>
      <c r="V68" s="64">
        <f t="shared" si="9"/>
        <v>59.5</v>
      </c>
      <c r="W68" t="s">
        <v>69</v>
      </c>
      <c r="X68" t="s">
        <v>78</v>
      </c>
      <c r="Y68" t="s">
        <v>70</v>
      </c>
      <c r="Z68" t="s">
        <v>72</v>
      </c>
      <c r="AA68" t="s">
        <v>31</v>
      </c>
      <c r="AB68" s="63" t="s">
        <v>97</v>
      </c>
      <c r="AC68" t="s">
        <v>89</v>
      </c>
    </row>
    <row r="69" spans="1:29" x14ac:dyDescent="0.25">
      <c r="A69" t="s">
        <v>83</v>
      </c>
      <c r="B69" s="57">
        <v>46105</v>
      </c>
      <c r="C69" s="56">
        <f t="shared" si="5"/>
        <v>46105</v>
      </c>
      <c r="D69" s="58" t="str">
        <f t="shared" si="6"/>
        <v>Tuesday</v>
      </c>
      <c r="E69" s="59">
        <v>0.5</v>
      </c>
      <c r="F69" s="59">
        <v>0.54166666666666663</v>
      </c>
      <c r="G69" s="59">
        <v>1.7361111111111109E-4</v>
      </c>
      <c r="H69" t="s">
        <v>98</v>
      </c>
      <c r="I69" s="60" t="s">
        <v>117</v>
      </c>
      <c r="J69" t="s">
        <v>90</v>
      </c>
      <c r="L69">
        <v>1</v>
      </c>
      <c r="M69">
        <v>72875</v>
      </c>
      <c r="N69" t="s">
        <v>32</v>
      </c>
      <c r="O69" t="s">
        <v>96</v>
      </c>
      <c r="P69" s="64">
        <v>70</v>
      </c>
      <c r="R69" s="64">
        <f t="shared" si="7"/>
        <v>70</v>
      </c>
      <c r="S69" s="62">
        <v>46105</v>
      </c>
      <c r="T69" s="64">
        <f t="shared" si="8"/>
        <v>10.5</v>
      </c>
      <c r="U69" s="63">
        <v>4</v>
      </c>
      <c r="V69" s="64">
        <f t="shared" si="9"/>
        <v>59.5</v>
      </c>
      <c r="W69" t="s">
        <v>69</v>
      </c>
      <c r="X69" t="s">
        <v>78</v>
      </c>
      <c r="Y69" t="s">
        <v>70</v>
      </c>
      <c r="Z69" t="s">
        <v>72</v>
      </c>
      <c r="AA69" t="s">
        <v>31</v>
      </c>
      <c r="AB69" s="63" t="s">
        <v>97</v>
      </c>
      <c r="AC69" t="s">
        <v>89</v>
      </c>
    </row>
    <row r="70" spans="1:29" x14ac:dyDescent="0.25">
      <c r="A70" t="s">
        <v>83</v>
      </c>
      <c r="B70" s="57">
        <v>46108</v>
      </c>
      <c r="C70" s="56">
        <f t="shared" si="5"/>
        <v>46108</v>
      </c>
      <c r="D70" s="58" t="str">
        <f t="shared" si="6"/>
        <v>Friday</v>
      </c>
      <c r="E70" s="59">
        <v>0.5</v>
      </c>
      <c r="F70" s="59">
        <v>0.54166666666666663</v>
      </c>
      <c r="G70" s="59">
        <v>1.7361111111111109E-4</v>
      </c>
      <c r="H70" t="s">
        <v>98</v>
      </c>
      <c r="I70" s="60" t="s">
        <v>116</v>
      </c>
      <c r="J70" t="s">
        <v>90</v>
      </c>
      <c r="L70">
        <v>1</v>
      </c>
      <c r="M70">
        <v>72876</v>
      </c>
      <c r="N70" t="s">
        <v>32</v>
      </c>
      <c r="O70" t="s">
        <v>96</v>
      </c>
      <c r="P70" s="64">
        <v>70</v>
      </c>
      <c r="R70" s="64">
        <f t="shared" si="7"/>
        <v>70</v>
      </c>
      <c r="S70" s="62">
        <v>46108</v>
      </c>
      <c r="T70" s="64">
        <f t="shared" si="8"/>
        <v>10.5</v>
      </c>
      <c r="U70" s="63">
        <v>4</v>
      </c>
      <c r="V70" s="64">
        <f t="shared" si="9"/>
        <v>59.5</v>
      </c>
      <c r="W70" t="s">
        <v>69</v>
      </c>
      <c r="X70" t="s">
        <v>78</v>
      </c>
      <c r="Y70" t="s">
        <v>70</v>
      </c>
      <c r="Z70" t="s">
        <v>72</v>
      </c>
      <c r="AA70" t="s">
        <v>31</v>
      </c>
      <c r="AB70" s="63" t="s">
        <v>97</v>
      </c>
      <c r="AC70" t="s">
        <v>89</v>
      </c>
    </row>
  </sheetData>
  <autoFilter ref="A1:AC2" xr:uid="{00000000-0009-0000-0000-000001000000}">
    <sortState xmlns:xlrd2="http://schemas.microsoft.com/office/spreadsheetml/2017/richdata2" ref="A2:AC2">
      <sortCondition ref="B1"/>
    </sortState>
  </autoFilter>
  <phoneticPr fontId="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6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17.85546875" bestFit="1" customWidth="1"/>
    <col min="4" max="4" width="11.28515625" bestFit="1" customWidth="1"/>
    <col min="5" max="5" width="10.5703125" bestFit="1" customWidth="1"/>
    <col min="6" max="9" width="9" bestFit="1" customWidth="1"/>
    <col min="10" max="10" width="11.28515625" bestFit="1" customWidth="1"/>
  </cols>
  <sheetData>
    <row r="3" spans="1:3" x14ac:dyDescent="0.25">
      <c r="A3" s="45" t="s">
        <v>59</v>
      </c>
      <c r="B3" t="s">
        <v>62</v>
      </c>
      <c r="C3" t="s">
        <v>80</v>
      </c>
    </row>
    <row r="4" spans="1:3" x14ac:dyDescent="0.25">
      <c r="A4" s="4" t="s">
        <v>91</v>
      </c>
      <c r="B4" s="48">
        <v>4830</v>
      </c>
      <c r="C4" s="48">
        <v>4105.5</v>
      </c>
    </row>
    <row r="5" spans="1:3" x14ac:dyDescent="0.25">
      <c r="A5" s="4" t="s">
        <v>60</v>
      </c>
      <c r="B5" s="48"/>
      <c r="C5" s="48"/>
    </row>
    <row r="6" spans="1:3" x14ac:dyDescent="0.25">
      <c r="A6" s="4" t="s">
        <v>61</v>
      </c>
      <c r="B6">
        <v>4830</v>
      </c>
      <c r="C6">
        <v>4105.5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Confirmation</vt:lpstr>
      <vt:lpstr>Run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Hudson</dc:creator>
  <cp:lastModifiedBy>Maija Her</cp:lastModifiedBy>
  <cp:lastPrinted>2010-05-14T17:53:22Z</cp:lastPrinted>
  <dcterms:created xsi:type="dcterms:W3CDTF">2010-05-13T01:42:58Z</dcterms:created>
  <dcterms:modified xsi:type="dcterms:W3CDTF">2026-02-26T18:12:36Z</dcterms:modified>
</cp:coreProperties>
</file>